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创一" sheetId="2" r:id="rId5"/>
    <sheet name="创二" sheetId="3" r:id="rId6"/>
    <sheet name="BIM" sheetId="4" r:id="rId7"/>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<sst xmlns="http://schemas.openxmlformats.org/spreadsheetml/2006/main" count="9" uniqueCount="9">
  <si>
    <t xml:space="preserve">  </t>
  </si>
  <si>
    <t/>
    <r>
      <t>B</t>
    </r>
    <r>
      <rPr>
        <b/>
        <sz val="10.5"/>
        <color rgb="FFFF0000"/>
        <rFont val="Calibri"/>
        <family val="2"/>
      </rPr>
      <t>（</t>
    </r>
    <r>
      <rPr>
        <b/>
        <sz val="10.5"/>
        <color rgb="FFFF0000"/>
        <rFont val="Calibri"/>
        <family val="2"/>
      </rPr>
      <t>89-70</t>
    </r>
    <r>
      <rPr>
        <b/>
        <sz val="10.5"/>
        <color rgb="FFFF0000"/>
        <rFont val="Calibri"/>
        <family val="2"/>
      </rPr>
      <t>（含））</t>
    </r>
    <r>
      <rPr>
        <b/>
        <sz val="10.5"/>
        <color rgb="FFFF0000"/>
        <rFont val="Calibri"/>
        <family val="2"/>
      </rPr>
      <t>5</t>
    </r>
    <r>
      <rPr>
        <b/>
        <sz val="10.5"/>
        <color rgb="FFFF0000"/>
        <rFont val="Calibri"/>
        <family val="2"/>
      </rPr>
      <t>人</t>
    </r>
  </si>
  <si>
    <t/>
    <r>
      <rPr>
        <b/>
        <sz val="10.5"/>
        <color rgb="FFFF0000"/>
        <rFont val="Calibri"/>
        <family val="2"/>
      </rPr>
      <t>C</t>
    </r>
    <r>
      <rPr>
        <b/>
        <sz val="10.5"/>
        <color rgb="FFFF0000"/>
        <rFont val="Calibri"/>
        <family val="2"/>
      </rPr>
      <t>（</t>
    </r>
    <r>
      <rPr>
        <b/>
        <sz val="10.5"/>
        <color rgb="FFFF0000"/>
        <rFont val="Calibri"/>
        <family val="2"/>
      </rPr>
      <t>69-60</t>
    </r>
    <r>
      <rPr>
        <b/>
        <sz val="10.5"/>
        <color rgb="FFFF0000"/>
        <rFont val="Calibri"/>
        <family val="2"/>
      </rPr>
      <t>（含））</t>
    </r>
    <r>
      <rPr>
        <b/>
        <sz val="10.5"/>
        <color rgb="FFFF0000"/>
        <rFont val="Calibri"/>
        <family val="2"/>
      </rPr>
      <t>1</t>
    </r>
    <r>
      <rPr>
        <b/>
        <sz val="10.5"/>
        <color rgb="FFFF0000"/>
        <rFont val="Calibri"/>
        <family val="2"/>
      </rPr>
      <t>人</t>
    </r>
  </si>
  <si>
    <t/>
    <r>
      <t>A</t>
    </r>
    <r>
      <rPr>
        <b/>
        <sz val="10.5"/>
        <color rgb="FFFF0000"/>
        <rFont val="Calibri"/>
        <family val="2"/>
      </rPr>
      <t>（</t>
    </r>
    <r>
      <rPr>
        <b/>
        <sz val="10.5"/>
        <color rgb="FFFF0000"/>
        <rFont val="Calibri"/>
        <family val="2"/>
      </rPr>
      <t>100-90</t>
    </r>
    <r>
      <rPr>
        <b/>
        <sz val="10.5"/>
        <color rgb="FFFF0000"/>
        <rFont val="Calibri"/>
        <family val="2"/>
      </rPr>
      <t>（含））</t>
    </r>
    <r>
      <rPr>
        <b/>
        <sz val="10.5"/>
        <color rgb="FFFF0000"/>
        <rFont val="Calibri"/>
        <family val="2"/>
      </rPr>
      <t>1</t>
    </r>
    <r>
      <rPr>
        <b/>
        <sz val="10.5"/>
        <color rgb="FFFF0000"/>
        <rFont val="Calibri"/>
        <family val="2"/>
      </rPr>
      <t>人</t>
    </r>
  </si>
  <si>
    <t/>
    <r>
      <t>A</t>
    </r>
    <r>
      <rPr>
        <b/>
        <sz val="10.5"/>
        <color rgb="FFFF0000"/>
        <rFont val="Calibri"/>
        <family val="2"/>
      </rPr>
      <t>（</t>
    </r>
    <r>
      <rPr>
        <b/>
        <sz val="10.5"/>
        <color rgb="FFFF0000"/>
        <rFont val="Calibri"/>
        <family val="2"/>
      </rPr>
      <t>100-90</t>
    </r>
    <r>
      <rPr>
        <b/>
        <sz val="10.5"/>
        <color rgb="FFFF0000"/>
        <rFont val="Calibri"/>
        <family val="2"/>
      </rPr>
      <t>（含））</t>
    </r>
    <r>
      <rPr>
        <b/>
        <sz val="10.5"/>
        <color rgb="FFFF0000"/>
        <rFont val="Calibri"/>
        <family val="2"/>
      </rPr>
      <t>2</t>
    </r>
    <r>
      <rPr>
        <b/>
        <sz val="10.5"/>
        <color rgb="FFFF0000"/>
        <rFont val="Calibri"/>
        <family val="2"/>
      </rPr>
      <t>人</t>
    </r>
  </si>
  <si>
    <t/>
    <r>
      <t>B</t>
    </r>
    <r>
      <rPr>
        <b/>
        <sz val="10.5"/>
        <color rgb="FFFF0000"/>
        <rFont val="Calibri"/>
        <family val="2"/>
      </rPr>
      <t>（</t>
    </r>
    <r>
      <rPr>
        <b/>
        <sz val="10.5"/>
        <color rgb="FFFF0000"/>
        <rFont val="Calibri"/>
        <family val="2"/>
      </rPr>
      <t>89-70</t>
    </r>
    <r>
      <rPr>
        <b/>
        <sz val="10.5"/>
        <color rgb="FFFF0000"/>
        <rFont val="Calibri"/>
        <family val="2"/>
      </rPr>
      <t>（含））</t>
    </r>
    <r>
      <rPr>
        <b/>
        <sz val="10.5"/>
        <color rgb="FFFF0000"/>
        <rFont val="Calibri"/>
        <family val="2"/>
      </rPr>
      <t>7</t>
    </r>
    <r>
      <rPr>
        <b/>
        <sz val="10.5"/>
        <color rgb="FFFF0000"/>
        <rFont val="Calibri"/>
        <family val="2"/>
      </rPr>
      <t>人</t>
    </r>
  </si>
  <si>
    <t/>
    <r>
      <t>C</t>
    </r>
    <r>
      <rPr>
        <b/>
        <sz val="10.5"/>
        <color rgb="FFFF0000"/>
        <rFont val="Calibri"/>
        <family val="2"/>
      </rPr>
      <t>（</t>
    </r>
    <r>
      <rPr>
        <b/>
        <sz val="10.5"/>
        <color rgb="FFFF0000"/>
        <rFont val="Calibri"/>
        <family val="2"/>
      </rPr>
      <t>69-60</t>
    </r>
    <r>
      <rPr>
        <b/>
        <sz val="10.5"/>
        <color rgb="FFFF0000"/>
        <rFont val="Calibri"/>
        <family val="2"/>
      </rPr>
      <t>（含））</t>
    </r>
    <r>
      <rPr>
        <b/>
        <sz val="10.5"/>
        <color rgb="FFFF0000"/>
        <rFont val="Calibri"/>
        <family val="2"/>
      </rPr>
      <t>2</t>
    </r>
    <r>
      <rPr>
        <b/>
        <sz val="10.5"/>
        <color rgb="FFFF0000"/>
        <rFont val="Calibri"/>
        <family val="2"/>
      </rPr>
      <t>人</t>
    </r>
  </si>
  <si>
    <t/>
    <r>
      <t>A</t>
    </r>
    <r>
      <rPr>
        <b/>
        <sz val="10.5"/>
        <color rgb="FFFF0000"/>
        <rFont val="Calibri"/>
        <family val="2"/>
      </rPr>
      <t>（</t>
    </r>
    <r>
      <rPr>
        <b/>
        <sz val="10.5"/>
        <color rgb="FFFF0000"/>
        <rFont val="Calibri"/>
        <family val="2"/>
      </rPr>
      <t>100-90</t>
    </r>
    <r>
      <rPr>
        <b/>
        <sz val="10.5"/>
        <color rgb="FFFF0000"/>
        <rFont val="Calibri"/>
        <family val="2"/>
      </rPr>
      <t>（含））</t>
    </r>
    <r>
      <rPr>
        <b/>
        <sz val="10.5"/>
        <color rgb="FFFF0000"/>
        <rFont val="Calibri"/>
        <family val="2"/>
      </rPr>
      <t>4</t>
    </r>
    <r>
      <rPr>
        <b/>
        <sz val="10.5"/>
        <color rgb="FFFF0000"/>
        <rFont val="Calibri"/>
        <family val="2"/>
      </rPr>
      <t>人</t>
    </r>
  </si>
  <si>
    <t/>
    <r>
      <t>B</t>
    </r>
    <r>
      <rPr>
        <b/>
        <sz val="10.5"/>
        <color rgb="FFFF0000"/>
        <rFont val="Calibri"/>
        <family val="2"/>
      </rPr>
      <t>（</t>
    </r>
    <r>
      <rPr>
        <b/>
        <sz val="10.5"/>
        <color rgb="FFFF0000"/>
        <rFont val="Calibri"/>
        <family val="2"/>
      </rPr>
      <t>89-70</t>
    </r>
    <r>
      <rPr>
        <b/>
        <sz val="10.5"/>
        <color rgb="FFFF0000"/>
        <rFont val="Calibri"/>
        <family val="2"/>
      </rPr>
      <t>（含））</t>
    </r>
    <r>
      <rPr>
        <b/>
        <sz val="10.5"/>
        <color rgb="FFFF0000"/>
        <rFont val="Calibri"/>
        <family val="2"/>
      </rPr>
      <t>12</t>
    </r>
    <r>
      <rPr>
        <b/>
        <sz val="10.5"/>
        <color rgb="FFFF0000"/>
        <rFont val="Calibri"/>
        <family val="2"/>
      </rPr>
      <t>人</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</si>
</sst>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
    <numFmt numFmtId="165" formatCode="0"/>
  </numFmts>
  <fonts count="6">
    <font>
      <sz val="10"/>
      <color theme="1"/>
      <name val="Calibri"/>
      <family val="2"/>
      <scheme val="minor"/>
    </font>
    <font>
      <sz val="10.5"/>
      <color rgb="FF000000"/>
      <name val="Calibri"/>
      <family val="2"/>
      <scheme val="minor"/>
    </font>
    <font>
      <sz val="9.75"/>
      <color rgb="FF000000"/>
      <name val="Calibri"/>
      <family val="2"/>
      <scheme val="minor"/>
    </font>
    <font>
      <b val="true"/>
      <sz val="10.5"/>
      <color rgb="FFFF0000"/>
      <name val="Calibri"/>
      <family val="2"/>
      <scheme val="minor"/>
    </font>
    <font>
      <sz val="19.5"/>
      <color rgb="FF000000"/>
      <name val="Calibri"/>
      <family val="2"/>
      <scheme val="minor"/>
    </font>
    <font>
      <sz val="9.75"/>
      <color rgb="FFFF0000"/>
      <name val="Calibri"/>
      <family val="2"/>
      <scheme val="minor"/>
    </font>
  </fonts>
  <fills count="7">
    <fill>
      <patternFill patternType="none">
        <fgColor/>
        <bgColor/>
      </patternFill>
    </fill>
    <fill>
      <patternFill patternType="gray125">
        <fgColor/>
        <bgColor/>
      </patternFill>
    </fill>
    <fill>
      <patternFill patternType="solid">
        <fgColor rgb="FFCFCFCF"/>
        <bgColor/>
      </patternFill>
    </fill>
    <fill>
      <patternFill patternType="solid">
        <fgColor rgb="FFCFCFCF"/>
        <bgColor/>
      </patternFill>
    </fill>
    <fill>
      <patternFill patternType="solid">
        <fgColor rgb="FFCFCFCF"/>
        <bgColor/>
      </patternFill>
    </fill>
    <fill>
      <patternFill patternType="solid">
        <fgColor rgb="FFCFCFCF"/>
        <bgColor/>
      </patternFill>
    </fill>
    <fill>
      <patternFill patternType="solid">
        <fgColor rgb="FFFFFF00"/>
        <bgColor/>
      </patternFill>
    </fill>
  </fills>
  <borders count="25">
    <border>
      <left/>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top/>
      <bottom/>
      <diagonal/>
    </border>
    <border>
      <left/>
      <right/>
      <top/>
      <bottom/>
      <diagonal/>
    </border>
    <border>
      <left/>
      <right/>
      <top/>
      <bottom/>
      <diagonal/>
    </border>
    <border>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applyAlignment="true" applyBorder="false" applyFill="false" applyFont="false" applyNumberFormat="false" applyProtection="false" borderId="0" fillId="0" fontId="0" numFmtId="0"/>
  </cellStyleXfs>
  <cellXfs count="25">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bottom"/>
    </xf>
    <xf applyAlignment="true" applyBorder="false" applyFill="true" applyFont="true" applyNumberFormat="false" applyProtection="false" borderId="2" fillId="2" fontId="1" numFmtId="0" xfId="0">
      <alignment horizontal="center" vertical="center"/>
    </xf>
    <xf applyAlignment="true" applyBorder="false" applyFill="true" applyFont="true" applyNumberFormat="false" applyProtection="false" borderId="3" fillId="3" fontId="2" numFmtId="0" xfId="0">
      <alignment vertical="top" wrapText="true"/>
    </xf>
    <xf applyAlignment="true" applyBorder="false" applyFill="true" applyFont="true" applyNumberFormat="false" applyProtection="false" borderId="4" fillId="4" fontId="2" numFmtId="0" xfId="0">
      <alignment horizontal="left" vertical="top" wrapText="true"/>
    </xf>
    <xf applyAlignment="true" applyBorder="false" applyFill="false" applyFont="true" applyNumberFormat="false" applyProtection="false" borderId="5" fillId="0" fontId="1" numFmtId="0" xfId="0">
      <alignment vertical="bottom"/>
    </xf>
    <xf applyAlignment="true" applyBorder="false" applyFill="true" applyFont="true" applyNumberFormat="false" applyProtection="false" borderId="6" fillId="5" fontId="1" numFmtId="0" xfId="0">
      <alignment horizontal="center" vertical="center" wrapText="true"/>
    </xf>
    <xf applyAlignment="true" applyBorder="false" applyFill="false" applyFont="true" applyNumberFormat="false" applyProtection="false" borderId="7" fillId="0" fontId="2" numFmtId="0" xfId="0">
      <alignment horizontal="center" vertical="center"/>
    </xf>
    <xf applyAlignment="true" applyBorder="false" applyFill="false" applyFont="true" applyNumberFormat="false" applyProtection="false" borderId="8" fillId="0" fontId="2" numFmtId="0" xfId="0">
      <alignment horizontal="center" vertical="center" wrapText="true"/>
    </xf>
    <xf applyAlignment="true" applyBorder="false" applyFill="false" applyFont="true" applyNumberFormat="true" applyProtection="false" borderId="9" fillId="0" fontId="2" numFmtId="164" xfId="0">
      <alignment horizontal="center" vertical="center" wrapText="true"/>
    </xf>
    <xf applyAlignment="true" applyBorder="false" applyFill="false" applyFont="true" applyNumberFormat="false" applyProtection="false" borderId="10" fillId="0" fontId="2" numFmtId="0" xfId="0">
      <alignment horizontal="center" vertical="center" wrapText="true"/>
    </xf>
    <xf applyAlignment="true" applyBorder="false" applyFill="false" applyFont="true" applyNumberFormat="false" applyProtection="false" borderId="11" fillId="0" fontId="3" numFmtId="0" xfId="0">
      <alignment vertical="center"/>
    </xf>
    <xf applyAlignment="true" applyBorder="false" applyFill="false" applyFont="true" applyNumberFormat="false" applyProtection="false" borderId="12" fillId="0" fontId="1" numFmtId="0" xfId="0">
      <alignment vertical="center"/>
    </xf>
    <xf applyAlignment="true" applyBorder="false" applyFill="false" applyFont="true" applyNumberFormat="false" applyProtection="false" borderId="13" fillId="0" fontId="4" numFmtId="0" xfId="0">
      <alignment horizontal="center" vertical="center"/>
    </xf>
    <xf applyAlignment="true" applyBorder="false" applyFill="false" applyFont="true" applyNumberFormat="false" applyProtection="false" borderId="14" fillId="0" fontId="2" numFmtId="0" xfId="0">
      <alignment horizontal="center" vertical="center"/>
    </xf>
    <xf applyAlignment="true" applyBorder="false" applyFill="false" applyFont="true" applyNumberFormat="false" applyProtection="false" borderId="15" fillId="0" fontId="2" numFmtId="0" xfId="0">
      <alignment horizontal="center" vertical="center" wrapText="true"/>
    </xf>
    <xf applyAlignment="true" applyBorder="false" applyFill="false" applyFont="true" applyNumberFormat="false" applyProtection="false" borderId="16" fillId="0" fontId="2" numFmtId="0" xfId="0">
      <alignment vertical="center"/>
    </xf>
    <xf applyAlignment="true" applyBorder="false" applyFill="false" applyFont="true" applyNumberFormat="false" applyProtection="false" borderId="17" fillId="0" fontId="1" numFmtId="0" xfId="0">
      <alignment horizontal="center" vertical="center"/>
    </xf>
    <xf applyAlignment="true" applyBorder="false" applyFill="false" applyFont="true" applyNumberFormat="false" applyProtection="false" borderId="18" fillId="0" fontId="1" numFmtId="0" xfId="0">
      <alignment horizontal="right" vertical="center"/>
    </xf>
    <xf applyAlignment="true" applyBorder="false" applyFill="false" applyFont="true" applyNumberFormat="false" applyProtection="false" borderId="19" fillId="0" fontId="1" numFmtId="0" xfId="0">
      <alignment horizontal="left" vertical="center"/>
    </xf>
    <xf applyAlignment="true" applyBorder="false" applyFill="false" applyFont="true" applyNumberFormat="false" applyProtection="false" borderId="20" fillId="0" fontId="1" numFmtId="0" xfId="0">
      <alignment vertical="bottom"/>
    </xf>
    <xf applyAlignment="true" applyBorder="false" applyFill="false" applyFont="true" applyNumberFormat="false" applyProtection="false" borderId="21" fillId="0" fontId="1" numFmtId="0" xfId="0">
      <alignment vertical="bottom"/>
    </xf>
    <xf applyAlignment="true" applyBorder="false" applyFill="false" applyFont="true" applyNumberFormat="false" applyProtection="false" borderId="22" fillId="0" fontId="1" numFmtId="0" xfId="0">
      <alignment vertical="bottom"/>
    </xf>
    <xf applyAlignment="true" applyBorder="false" applyFill="true" applyFont="true" applyNumberFormat="true" applyProtection="false" borderId="23" fillId="6" fontId="5" numFmtId="165" xfId="0">
      <alignment horizontal="center" vertical="center" wrapText="true"/>
    </xf>
    <xf applyAlignment="true" applyBorder="false" applyFill="false" applyFont="true" applyNumberFormat="false" applyProtection="false" borderId="24" fillId="0" fontId="2" numFmtId="0" xfId="0">
      <alignment horizontal="center"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D10" xSplit="3" ySplit="9"/>
    </sheetView>
  </sheetViews>
  <sheetFormatPr defaultColWidth="14" defaultRowHeight="19"/>
  <cols>
    <col collapsed="false" customWidth="true" hidden="false" max="1" min="1" style="0" width="8"/>
    <col collapsed="false" customWidth="true" hidden="false" max="2" min="2" style="0" width="11"/>
    <col collapsed="false" customWidth="true" hidden="false" max="3" min="3" style="0" width="11"/>
    <col collapsed="false" customWidth="true" hidden="false" max="4" min="4" style="0" width="32"/>
    <col collapsed="false" customWidth="true" hidden="false" max="5" min="5" style="0" width="35"/>
    <col collapsed="false" customWidth="true" hidden="false" max="6" min="6" style="0" width="39"/>
    <col collapsed="false" customWidth="true" hidden="false" max="7" min="7" style="0" width="24"/>
    <col collapsed="false" customWidth="true" hidden="false" max="8" min="8" style="0" width="8"/>
    <col collapsed="false" customWidth="true" hidden="false" max="9" min="9" style="0" width="8"/>
    <col collapsed="false" customWidth="true" hidden="false" max="10" min="10" style="0" width="11"/>
    <col collapsed="false" customWidth="true" hidden="false" max="11" min="11" style="0" width="11"/>
    <col collapsed="false" customWidth="true" hidden="false" max="12" min="12" style="0" width="11"/>
    <col collapsed="false" customWidth="true" hidden="false" max="13" min="13" style="0" width="11"/>
    <col collapsed="false" customWidth="true" hidden="false" max="14" min="14" style="0" width="11"/>
    <col collapsed="false" customWidth="true" hidden="false" max="15" min="15" style="0" width="11"/>
    <col collapsed="false" customWidth="true" hidden="false" max="16" min="16" style="0" width="11"/>
    <col collapsed="false" customWidth="true" hidden="false" max="17" min="17" style="0" width="11"/>
    <col collapsed="false" customWidth="true" hidden="false" max="18" min="18" style="0" width="11"/>
    <col collapsed="false" customWidth="true" hidden="false" max="19" min="19" style="0" width="11"/>
    <col collapsed="false" customWidth="true" hidden="false" max="20" min="20" style="0" width="11"/>
  </cols>
  <sheetData>
    <row customHeight="true" ht="26" r="1">
      <c r="A1" s="13" t="str">
        <v>2024年度考核评价——个人能力态度综合评价</v>
      </c>
      <c r="B1" s="13"/>
      <c r="C1" s="13"/>
      <c r="D1" s="13"/>
      <c r="E1" s="13"/>
      <c r="F1" s="13"/>
      <c r="G1" s="13"/>
      <c r="H1" s="13"/>
      <c r="I1" s="13"/>
    </row>
    <row customHeight="true" ht="26" r="2">
      <c r="A2" s="19" t="str">
        <v>部门/项目</v>
      </c>
      <c r="B2" s="20"/>
      <c r="C2" s="12" t="str">
        <v>创作一室</v>
      </c>
      <c r="D2" s="12"/>
      <c r="E2" s="17"/>
      <c r="F2" s="17"/>
      <c r="G2" s="18" t="str">
        <v>部门总人数</v>
      </c>
      <c r="H2" s="18">
        <v>7</v>
      </c>
    </row>
    <row customHeight="true" ht="29" r="3">
      <c r="A3" s="6" t="str">
        <v>序号</v>
      </c>
      <c r="B3" s="6" t="str">
        <v>被考评人姓名</v>
      </c>
      <c r="C3" s="6" t="str">
        <v>能力态度</v>
      </c>
      <c r="D3" s="21"/>
      <c r="E3" s="21"/>
      <c r="F3" s="21"/>
      <c r="G3" s="21"/>
      <c r="H3" s="21"/>
      <c r="I3" s="22"/>
    </row>
    <row customHeight="true" ht="29" r="4">
      <c r="A4" s="1"/>
      <c r="B4" s="1"/>
      <c r="C4" s="2" t="str">
        <v>考核指标</v>
      </c>
      <c r="D4" s="6" t="str">
        <v>1、积极性主动性</v>
      </c>
      <c r="E4" s="6" t="str">
        <v>2、执行力工作效率及质量</v>
      </c>
      <c r="F4" s="6" t="str">
        <v>3、劳动纪律企业文化</v>
      </c>
      <c r="G4" s="6" t="str">
        <v>4、工作饱和度</v>
      </c>
      <c r="H4" s="2" t="str">
        <v>小计</v>
      </c>
      <c r="I4" s="2" t="str">
        <v>合计</v>
      </c>
    </row>
    <row customHeight="true" ht="61" r="5">
      <c r="A5" s="1"/>
      <c r="B5" s="1"/>
      <c r="C5" s="2" t="str">
        <v>评分标准</v>
      </c>
      <c r="D5" s="3" t="str">
        <v>1、独立提出切实可行的改进方案，并推进实施，取得良好的效果；(8-10分)
2、工作中主动发现问题，提出有价值的改进建议；(6-7分)
3、主动调动各方面资源和问题，但没有改进建议；(4-5分)
4、反映工作中的困难和问题，但没有改进建议；(2-3分)
5、被动执行上级安排的工作，遇到困难被动等待，对工作中的问题视而不见。(0-1分)</v>
      </c>
      <c r="E5" s="3" t="str">
        <v>1、能够将分配到本岗位的工作出色、快速的执行，并能经常取得超出期望的工作成果；(29-35分)
2、能够将分配到本岗位的工作及时执行，并保质保量地完成，偶尔有工作成果超出期望；(22-28分)
3、能够将分配到本岗位的工作按要求执行，工作成果也基本符合标准；(15-21分)
4、基本能够完成分配到本岗位的工作任务，但工作效率和工作质量还需提高；(7-14分)
5、工作拖拉、不能完全将分配到的工作及时完成，工作质量不高，经常出现返工的情况。(0-6分)</v>
      </c>
      <c r="F5" s="3" t="str">
        <v>1、偶有迟到(不超过2次/月)，且均不超过3分钟，无早退，无病事假；无窜岗脱岗、无消极怠工；衣着大方合体，待人礼貌热情；充满正能量，能很好地融入企业文化；(16-20分)
2、月迟到次数3-4次，1次迟到30分钟以内，病事假0-2天；衣着发饰不够大方合体，不方便约见甲方或客人；(10-15分)
3、经常迟到，屡教不改，迟到30分钟2次及以上，有无故不到岗情况；有窜岗、脱岗、消极怠工行为；正能量不足，难以融入企业文化；(4-9分)
4、未经审批，长期不到岗；窜岗、脱岗、消极怠工行为严重；负能量满满，与企业文化相悖。(0-3分)</v>
      </c>
      <c r="G5" s="4" t="str">
        <v>1、非常饱和；(29-35分)
2、比较饱和；(22-28分)
3、饱和；(15-21分)
4、一般；(7-14分)
5、不饱和。(0-6分)</v>
      </c>
      <c r="H5" s="1"/>
      <c r="I5" s="1"/>
    </row>
    <row customHeight="true" ht="61" r="6">
      <c r="A6" s="1"/>
      <c r="B6" s="1"/>
      <c r="C6" s="1"/>
      <c r="D6" s="1"/>
      <c r="E6" s="1"/>
      <c r="F6" s="1"/>
      <c r="G6" s="1"/>
      <c r="H6" s="1"/>
      <c r="I6" s="1"/>
    </row>
    <row customHeight="true" ht="61" r="7">
      <c r="A7" s="1"/>
      <c r="B7" s="1"/>
      <c r="C7" s="1"/>
      <c r="D7" s="1"/>
      <c r="E7" s="1"/>
      <c r="F7" s="1"/>
      <c r="G7" s="1"/>
      <c r="H7" s="1"/>
      <c r="I7" s="1"/>
    </row>
    <row customHeight="true" ht="18" r="8">
      <c r="A8" s="1"/>
      <c r="B8" s="1"/>
      <c r="C8" s="5"/>
      <c r="D8" s="5"/>
      <c r="E8" s="5"/>
      <c r="F8" s="5"/>
      <c r="G8" s="5"/>
      <c r="H8" s="5"/>
      <c r="I8" s="5"/>
    </row>
    <row customHeight="true" ht="29" r="9">
      <c r="A9" s="5"/>
      <c r="B9" s="5"/>
      <c r="C9" s="2" t="str">
        <v>权重</v>
      </c>
      <c r="D9" s="2">
        <v>10</v>
      </c>
      <c r="E9" s="2">
        <v>35</v>
      </c>
      <c r="F9" s="6">
        <v>20</v>
      </c>
      <c r="G9" s="6">
        <v>35</v>
      </c>
      <c r="H9" s="6">
        <v>100</v>
      </c>
      <c r="I9" s="2">
        <f>SUM(D9:G9)</f>
      </c>
    </row>
    <row customHeight="true" ht="48" r="10">
      <c r="A10" s="14">
        <v>1</v>
      </c>
      <c r="B10" s="15" t="str">
        <v>任瑞雪</v>
      </c>
      <c r="C10" s="8" t="str">
        <v>部门负责人</v>
      </c>
      <c r="D10" s="9">
        <v>7</v>
      </c>
      <c r="E10" s="9">
        <v>28</v>
      </c>
      <c r="F10" s="9">
        <v>20</v>
      </c>
      <c r="G10" s="9">
        <v>28</v>
      </c>
      <c r="H10" s="9">
        <f>SUM(D10:G10)</f>
      </c>
      <c r="I10" s="8">
        <f>H10*0.6+H11*0.4</f>
      </c>
      <c r="J10" s="16"/>
    </row>
    <row customHeight="true" ht="48" r="11">
      <c r="A11" s="7"/>
      <c r="B11" s="10"/>
      <c r="C11" s="8" t="str">
        <v>分管领导</v>
      </c>
      <c r="D11" s="9">
        <v>7</v>
      </c>
      <c r="E11" s="9">
        <v>27</v>
      </c>
      <c r="F11" s="9">
        <v>20</v>
      </c>
      <c r="G11" s="9">
        <v>27</v>
      </c>
      <c r="H11" s="9">
        <f>SUM(D11:G11)</f>
      </c>
      <c r="I11" s="5"/>
    </row>
    <row customHeight="true" ht="48" r="12">
      <c r="A12" s="14">
        <v>2</v>
      </c>
      <c r="B12" s="15" t="str">
        <v>张华</v>
      </c>
      <c r="C12" s="8" t="str">
        <v>部门负责人</v>
      </c>
      <c r="D12" s="9">
        <v>9</v>
      </c>
      <c r="E12" s="9">
        <v>33</v>
      </c>
      <c r="F12" s="9">
        <v>18</v>
      </c>
      <c r="G12" s="9">
        <v>33</v>
      </c>
      <c r="H12" s="9">
        <f>SUM(D12:G12)</f>
      </c>
      <c r="I12" s="8">
        <f>H12*0.6+H13*0.4</f>
      </c>
    </row>
    <row customHeight="true" ht="48" r="13">
      <c r="A13" s="7"/>
      <c r="B13" s="10"/>
      <c r="C13" s="8" t="str">
        <v>分管领导</v>
      </c>
      <c r="D13" s="9">
        <v>9</v>
      </c>
      <c r="E13" s="9">
        <v>33</v>
      </c>
      <c r="F13" s="9">
        <v>18</v>
      </c>
      <c r="G13" s="9">
        <v>34</v>
      </c>
      <c r="H13" s="9">
        <f>SUM(D13:G13)</f>
      </c>
      <c r="I13" s="5"/>
    </row>
    <row customHeight="true" ht="48" r="14">
      <c r="A14" s="14">
        <v>3</v>
      </c>
      <c r="B14" s="15" t="str">
        <v>张继源</v>
      </c>
      <c r="C14" s="8" t="str">
        <v>部门负责人</v>
      </c>
      <c r="D14" s="9">
        <v>9</v>
      </c>
      <c r="E14" s="9">
        <v>30</v>
      </c>
      <c r="F14" s="9">
        <v>20</v>
      </c>
      <c r="G14" s="9">
        <v>30</v>
      </c>
      <c r="H14" s="9">
        <f>SUM(D14:G14)</f>
      </c>
      <c r="I14" s="8">
        <f>H14*0.6+H15*0.4</f>
      </c>
    </row>
    <row customHeight="true" ht="48" r="15">
      <c r="A15" s="7"/>
      <c r="B15" s="10"/>
      <c r="C15" s="8" t="str">
        <v>分管领导</v>
      </c>
      <c r="D15" s="9">
        <v>8</v>
      </c>
      <c r="E15" s="9">
        <v>30</v>
      </c>
      <c r="F15" s="9">
        <v>20</v>
      </c>
      <c r="G15" s="9">
        <v>30</v>
      </c>
      <c r="H15" s="9">
        <f>SUM(D15:G15)</f>
      </c>
      <c r="I15" s="5"/>
    </row>
    <row customHeight="true" ht="48" r="16">
      <c r="A16" s="14">
        <v>4</v>
      </c>
      <c r="B16" s="15" t="str">
        <v>朱宇</v>
      </c>
      <c r="C16" s="8" t="str">
        <v>部门负责人</v>
      </c>
      <c r="D16" s="9">
        <v>8</v>
      </c>
      <c r="E16" s="9">
        <v>28</v>
      </c>
      <c r="F16" s="9">
        <v>20</v>
      </c>
      <c r="G16" s="9">
        <v>30</v>
      </c>
      <c r="H16" s="9">
        <f>SUM(D16:G16)</f>
      </c>
      <c r="I16" s="8">
        <f>H16*0.6+H17*0.4</f>
      </c>
    </row>
    <row customHeight="true" ht="48" r="17">
      <c r="A17" s="7"/>
      <c r="B17" s="10"/>
      <c r="C17" s="8" t="str">
        <v>分管领导</v>
      </c>
      <c r="D17" s="9">
        <v>8</v>
      </c>
      <c r="E17" s="9">
        <v>28</v>
      </c>
      <c r="F17" s="9">
        <v>20</v>
      </c>
      <c r="G17" s="9">
        <v>30</v>
      </c>
      <c r="H17" s="9">
        <f>SUM(D17:G17)</f>
      </c>
      <c r="I17" s="5"/>
    </row>
    <row customHeight="true" ht="48" r="18">
      <c r="A18" s="14">
        <v>5</v>
      </c>
      <c r="B18" s="15" t="str">
        <v>王洪生</v>
      </c>
      <c r="C18" s="8" t="str">
        <v>部门负责人</v>
      </c>
      <c r="D18" s="9">
        <v>6</v>
      </c>
      <c r="E18" s="9">
        <v>25</v>
      </c>
      <c r="F18" s="9">
        <v>17</v>
      </c>
      <c r="G18" s="9">
        <v>21</v>
      </c>
      <c r="H18" s="9">
        <f>SUM(D18:G18)</f>
      </c>
      <c r="I18" s="8">
        <f>H18*0.6+H19*0.4</f>
      </c>
    </row>
    <row customHeight="true" ht="48" r="19">
      <c r="A19" s="7"/>
      <c r="B19" s="10"/>
      <c r="C19" s="8" t="str">
        <v>分管领导</v>
      </c>
      <c r="D19" s="9">
        <v>6</v>
      </c>
      <c r="E19" s="9">
        <v>25</v>
      </c>
      <c r="F19" s="9">
        <v>17</v>
      </c>
      <c r="G19" s="9">
        <v>21</v>
      </c>
      <c r="H19" s="9">
        <f>SUM(D19:G19)</f>
      </c>
      <c r="I19" s="5"/>
    </row>
    <row customHeight="true" ht="48" r="20">
      <c r="A20" s="14">
        <v>6</v>
      </c>
      <c r="B20" s="15" t="str">
        <v>胡龙</v>
      </c>
      <c r="C20" s="8" t="str">
        <v>部门负责人</v>
      </c>
      <c r="D20" s="9">
        <v>9</v>
      </c>
      <c r="E20" s="9">
        <v>34</v>
      </c>
      <c r="F20" s="9">
        <v>20</v>
      </c>
      <c r="G20" s="9">
        <v>32</v>
      </c>
      <c r="H20" s="9">
        <f>SUM(D20:G20)</f>
      </c>
      <c r="I20" s="8">
        <f>H20*0.6+H21*0.4</f>
      </c>
    </row>
    <row customHeight="true" ht="48" r="21">
      <c r="A21" s="7"/>
      <c r="B21" s="10"/>
      <c r="C21" s="8" t="str">
        <v>分管领导</v>
      </c>
      <c r="D21" s="9">
        <v>9</v>
      </c>
      <c r="E21" s="9">
        <v>34</v>
      </c>
      <c r="F21" s="9">
        <v>20</v>
      </c>
      <c r="G21" s="9">
        <v>32</v>
      </c>
      <c r="H21" s="9">
        <f>SUM(D21:G21)</f>
      </c>
      <c r="I21" s="5"/>
    </row>
    <row customHeight="true" ht="48" r="22">
      <c r="A22" s="14">
        <v>7</v>
      </c>
      <c r="B22" s="15" t="str">
        <v>范明磊</v>
      </c>
      <c r="C22" s="8" t="str">
        <v>部门负责人</v>
      </c>
      <c r="D22" s="9">
        <v>7</v>
      </c>
      <c r="E22" s="9">
        <v>27</v>
      </c>
      <c r="F22" s="9">
        <v>18</v>
      </c>
      <c r="G22" s="9">
        <v>30</v>
      </c>
      <c r="H22" s="9">
        <f>SUM(D22:G22)</f>
      </c>
      <c r="I22" s="8">
        <f>H22*0.6+H23*0.4</f>
      </c>
    </row>
    <row customHeight="true" ht="48" r="23">
      <c r="A23" s="7"/>
      <c r="B23" s="10"/>
      <c r="C23" s="8" t="str">
        <v>分管领导</v>
      </c>
      <c r="D23" s="9">
        <v>7</v>
      </c>
      <c r="E23" s="9">
        <v>27</v>
      </c>
      <c r="F23" s="9">
        <v>18</v>
      </c>
      <c r="G23" s="9">
        <v>30</v>
      </c>
      <c r="H23" s="9">
        <f>SUM(D23:G23)</f>
      </c>
      <c r="I23" s="5"/>
    </row>
    <row customHeight="true" ht="19" r="24">
      <c r="C24" s="11" t="str">
        <v>强制分布</v>
      </c>
      <c r="D24" s="11" t="s">
        <v>3</v>
      </c>
      <c r="J24" s="12">
        <f>1/7</f>
      </c>
    </row>
    <row customHeight="true" ht="19" r="25">
      <c r="C25" s="11"/>
      <c r="D25" s="11" t="s">
        <v>1</v>
      </c>
      <c r="J25" s="12">
        <f>5/H2</f>
      </c>
    </row>
    <row customHeight="true" ht="19" r="26">
      <c r="C26" s="11"/>
      <c r="D26" s="11" t="s">
        <v>2</v>
      </c>
      <c r="J26" s="12">
        <f>1/H2</f>
      </c>
    </row>
  </sheetData>
  <mergeCells>
    <mergeCell ref="A1:I1"/>
    <mergeCell ref="A2:B2"/>
    <mergeCell ref="E2:F2"/>
    <mergeCell ref="C3:I3"/>
    <mergeCell ref="A3:A9"/>
    <mergeCell ref="A10:A11"/>
    <mergeCell ref="A12:A13"/>
    <mergeCell ref="A14:A15"/>
    <mergeCell ref="A16:A17"/>
    <mergeCell ref="A18:A19"/>
    <mergeCell ref="A20:A21"/>
    <mergeCell ref="A22:A23"/>
    <mergeCell ref="B3:B9"/>
    <mergeCell ref="B10:B11"/>
    <mergeCell ref="B12:B13"/>
    <mergeCell ref="B14:B15"/>
    <mergeCell ref="B16:B17"/>
    <mergeCell ref="B18:B19"/>
    <mergeCell ref="B20:B21"/>
    <mergeCell ref="B22:B23"/>
    <mergeCell ref="C5:C8"/>
    <mergeCell ref="D5:D8"/>
    <mergeCell ref="E5:E8"/>
    <mergeCell ref="F5:F8"/>
    <mergeCell ref="G5:G8"/>
    <mergeCell ref="H4:H8"/>
    <mergeCell ref="I4:I8"/>
    <mergeCell ref="I10:I11"/>
    <mergeCell ref="I12:I13"/>
    <mergeCell ref="I14:I15"/>
    <mergeCell ref="I16:I17"/>
    <mergeCell ref="I18:I19"/>
    <mergeCell ref="I20:I21"/>
    <mergeCell ref="I22:I23"/>
  </mergeCells>
  <dataValidations count="6">
    <dataValidation allowBlank="true" errorStyle="stop" operator="between" showErrorMessage="true" sqref="D10 D12 D14 D16 D18 D20 D22" type="whole">
      <formula1>0</formula1>
      <formula2>10</formula2>
    </dataValidation>
    <dataValidation allowBlank="true" errorStyle="stop" operator="between" showErrorMessage="true" sqref="F10 F12 F14 F16 F18 F20 F22" type="whole">
      <formula1>0</formula1>
      <formula2>20</formula2>
    </dataValidation>
    <dataValidation allowBlank="true" errorStyle="stop" operator="between" showErrorMessage="true" sqref="E11 E13 E15 E17 E19 E21 E23 G11 G13 G15 G17 G19 G21 G23" type="whole">
      <formula1>0</formula1>
      <formula2>35</formula2>
    </dataValidation>
    <dataValidation allowBlank="true" errorStyle="stop" operator="between" showErrorMessage="true" sqref="D11 D13 D15 D17 D19 D21 D23" type="whole">
      <formula1>0</formula1>
      <formula2>10</formula2>
    </dataValidation>
    <dataValidation allowBlank="true" errorStyle="stop" operator="between" showErrorMessage="true" sqref="F11 F13 F15 F17 F19 F21 F23" type="whole">
      <formula1>0</formula1>
      <formula2>20</formula2>
    </dataValidation>
    <dataValidation allowBlank="true" errorStyle="stop" operator="between" showErrorMessage="true" sqref="E10 E12 E14 E16 E18 E20 E22 G10 G12 G14 G16 G18 G20 G22" type="whole">
      <formula1>0</formula1>
      <formula2>35</formula2>
    </dataValidation>
  </dataValidation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D10" xSplit="3" ySplit="9"/>
    </sheetView>
  </sheetViews>
  <sheetFormatPr defaultColWidth="14" defaultRowHeight="19"/>
  <cols>
    <col collapsed="false" customWidth="true" hidden="false" max="1" min="1" style="0" width="8"/>
    <col collapsed="false" customWidth="true" hidden="false" max="2" min="2" style="0" width="11"/>
    <col collapsed="false" customWidth="true" hidden="false" max="3" min="3" style="0" width="11"/>
    <col collapsed="false" customWidth="true" hidden="false" max="4" min="4" style="0" width="32"/>
    <col collapsed="false" customWidth="true" hidden="false" max="5" min="5" style="0" width="35"/>
    <col collapsed="false" customWidth="true" hidden="false" max="6" min="6" style="0" width="39"/>
    <col collapsed="false" customWidth="true" hidden="false" max="7" min="7" style="0" width="24"/>
    <col collapsed="false" customWidth="true" hidden="false" max="8" min="8" style="0" width="8"/>
    <col collapsed="false" customWidth="true" hidden="false" max="9" min="9" style="0" width="8"/>
    <col collapsed="false" customWidth="true" hidden="false" max="10" min="10" style="0" width="11"/>
    <col collapsed="false" customWidth="true" hidden="false" max="11" min="11" style="0" width="11"/>
    <col collapsed="false" customWidth="true" hidden="false" max="12" min="12" style="0" width="11"/>
    <col collapsed="false" customWidth="true" hidden="false" max="13" min="13" style="0" width="11"/>
    <col collapsed="false" customWidth="true" hidden="false" max="14" min="14" style="0" width="11"/>
    <col collapsed="false" customWidth="true" hidden="false" max="15" min="15" style="0" width="11"/>
    <col collapsed="false" customWidth="true" hidden="false" max="16" min="16" style="0" width="11"/>
    <col collapsed="false" customWidth="true" hidden="false" max="17" min="17" style="0" width="11"/>
    <col collapsed="false" customWidth="true" hidden="false" max="18" min="18" style="0" width="11"/>
    <col collapsed="false" customWidth="true" hidden="false" max="19" min="19" style="0" width="11"/>
    <col collapsed="false" customWidth="true" hidden="false" max="20" min="20" style="0" width="11"/>
  </cols>
  <sheetData>
    <row customHeight="true" ht="52" r="1">
      <c r="A1" s="13" t="str">
        <v>2024年度考核评价——个人能力态度综合评价</v>
      </c>
      <c r="B1" s="13"/>
      <c r="C1" s="13"/>
      <c r="D1" s="13"/>
      <c r="E1" s="13"/>
      <c r="F1" s="13"/>
      <c r="G1" s="13"/>
      <c r="H1" s="13"/>
      <c r="I1" s="13"/>
    </row>
    <row customHeight="true" ht="26" r="2">
      <c r="A2" s="19" t="str">
        <v>部门/项目</v>
      </c>
      <c r="B2" s="20"/>
      <c r="C2" s="12" t="str">
        <v>创作二室</v>
      </c>
      <c r="D2" s="12"/>
      <c r="E2" s="17"/>
      <c r="F2" s="17"/>
      <c r="G2" s="18" t="str">
        <v>部门总人数</v>
      </c>
      <c r="H2" s="18">
        <v>11</v>
      </c>
    </row>
    <row customHeight="true" ht="29" r="3">
      <c r="A3" s="6" t="str">
        <v>序号</v>
      </c>
      <c r="B3" s="6" t="str">
        <v>被考评人姓名</v>
      </c>
      <c r="C3" s="6" t="str">
        <v>能力态度</v>
      </c>
      <c r="D3" s="21"/>
      <c r="E3" s="21"/>
      <c r="F3" s="21"/>
      <c r="G3" s="21"/>
      <c r="H3" s="21"/>
      <c r="I3" s="22"/>
    </row>
    <row customHeight="true" ht="29" r="4">
      <c r="A4" s="1"/>
      <c r="B4" s="1"/>
      <c r="C4" s="2" t="str">
        <v>考核指标</v>
      </c>
      <c r="D4" s="6" t="str">
        <v>1、积极性主动性</v>
      </c>
      <c r="E4" s="6" t="str">
        <v>2、执行力工作效率及质量</v>
      </c>
      <c r="F4" s="6" t="str">
        <v>3、劳动纪律企业文化</v>
      </c>
      <c r="G4" s="6" t="str">
        <v>4、工作饱和度</v>
      </c>
      <c r="H4" s="2" t="str">
        <v>小计</v>
      </c>
      <c r="I4" s="2" t="str">
        <v>合计</v>
      </c>
    </row>
    <row customHeight="true" ht="61" r="5">
      <c r="A5" s="1"/>
      <c r="B5" s="1"/>
      <c r="C5" s="2" t="str">
        <v>评分标准</v>
      </c>
      <c r="D5" s="3" t="str">
        <v>1、独立提出切实可行的改进方案，并推进实施，取得良好的效果；(8-10分)
2、工作中主动发现问题，提出有价值的改进建议；(6-7分)
3、主动调动各方面资源和问题，但没有改进建议；(4-5分)
4、反映工作中的困难和问题，但没有改进建议；(2-3分)
5、被动执行上级安排的工作，遇到困难被动等待，对工作中的问题视而不见。(0-1分)</v>
      </c>
      <c r="E5" s="3" t="str">
        <v>1、能够将分配到本岗位的工作出色、快速的执行，并能经常取得超出期望的工作成果；(29-35分)
2、能够将分配到本岗位的工作及时执行，并保质保量地完成，偶尔有工作成果超出期望；(22-28分)
3、能够将分配到本岗位的工作按要求执行，工作成果也基本符合标准；(15-21分)
4、基本能够完成分配到本岗位的工作任务，但工作效率和工作质量还需提高；(7-14分)
5、工作拖拉、不能完全将分配到的工作及时完成，工作质量不高，经常出现返工的情况。(0-6分)</v>
      </c>
      <c r="F5" s="3" t="str">
        <v>1、偶有迟到(不超过2次/月)，且均不超过3分钟，无早退，无病事假；无窜岗脱岗、无消极怠工；衣着大方合体，待人礼貌热情；充满正能量，能很好地融入企业文化；(16-20分)
2、月迟到次数3-4次，1次迟到30分钟以内，病事假0-2天；衣着发饰不够大方合体，不方便约见甲方或客人；(10-15分)
3、经常迟到，屡教不改，迟到30分钟2次及以上，有无故不到岗情况；有窜岗、脱岗、消极怠工行为；正能量不足，难以融入企业文化；(4-9分)
4、未经审批，长期不到岗；窜岗、脱岗、消极怠工行为严重；负能量满满，与企业文化相悖。(0-3分)</v>
      </c>
      <c r="G5" s="4" t="str">
        <v>1、非常饱和；(29-35分)
2、比较饱和；(22-28分)
3、饱和；(15-21分)
4、一般；(7-14分)
5、不饱和。(0-6分)</v>
      </c>
      <c r="H5" s="1"/>
      <c r="I5" s="1"/>
    </row>
    <row customHeight="true" ht="61" r="6">
      <c r="A6" s="1"/>
      <c r="B6" s="1"/>
      <c r="C6" s="1"/>
      <c r="D6" s="1"/>
      <c r="E6" s="1"/>
      <c r="F6" s="1"/>
      <c r="G6" s="1"/>
      <c r="H6" s="1"/>
      <c r="I6" s="1"/>
    </row>
    <row customHeight="true" ht="61" r="7">
      <c r="A7" s="1"/>
      <c r="B7" s="1"/>
      <c r="C7" s="1"/>
      <c r="D7" s="1"/>
      <c r="E7" s="1"/>
      <c r="F7" s="1"/>
      <c r="G7" s="1"/>
      <c r="H7" s="1"/>
      <c r="I7" s="1"/>
    </row>
    <row customHeight="true" ht="22" r="8">
      <c r="A8" s="1"/>
      <c r="B8" s="1"/>
      <c r="C8" s="5"/>
      <c r="D8" s="5"/>
      <c r="E8" s="5"/>
      <c r="F8" s="5"/>
      <c r="G8" s="5"/>
      <c r="H8" s="5"/>
      <c r="I8" s="5"/>
    </row>
    <row customHeight="true" ht="29" r="9">
      <c r="A9" s="5"/>
      <c r="B9" s="5"/>
      <c r="C9" s="2" t="str">
        <v>权重</v>
      </c>
      <c r="D9" s="2">
        <v>10</v>
      </c>
      <c r="E9" s="2">
        <v>35</v>
      </c>
      <c r="F9" s="6">
        <v>20</v>
      </c>
      <c r="G9" s="6">
        <v>35</v>
      </c>
      <c r="H9" s="6">
        <v>100</v>
      </c>
      <c r="I9" s="2">
        <f>SUM(D9:G9)</f>
      </c>
    </row>
    <row customHeight="true" ht="48" r="10">
      <c r="A10" s="14">
        <v>1</v>
      </c>
      <c r="B10" s="15" t="str">
        <v>刘璟</v>
      </c>
      <c r="C10" s="8" t="str">
        <v>部门负责人</v>
      </c>
      <c r="D10" s="9">
        <v>7</v>
      </c>
      <c r="E10" s="9">
        <v>25</v>
      </c>
      <c r="F10" s="9">
        <v>16</v>
      </c>
      <c r="G10" s="9">
        <v>28</v>
      </c>
      <c r="H10" s="9">
        <f>SUM(D10:G10)</f>
      </c>
      <c r="I10" s="8">
        <f>H10*0.6+H11*0.4</f>
      </c>
    </row>
    <row customHeight="true" ht="48" r="11">
      <c r="A11" s="7"/>
      <c r="B11" s="10"/>
      <c r="C11" s="8" t="str">
        <v>分管领导</v>
      </c>
      <c r="D11" s="9">
        <v>7</v>
      </c>
      <c r="E11" s="9">
        <v>25</v>
      </c>
      <c r="F11" s="9">
        <v>16</v>
      </c>
      <c r="G11" s="9">
        <v>28</v>
      </c>
      <c r="H11" s="9">
        <f>SUM(D11:G11)</f>
      </c>
      <c r="I11" s="5"/>
    </row>
    <row customHeight="true" ht="48" r="12">
      <c r="A12" s="14">
        <v>2</v>
      </c>
      <c r="B12" s="15" t="str">
        <v>孙祎璐</v>
      </c>
      <c r="C12" s="8" t="str">
        <v>部门负责人</v>
      </c>
      <c r="D12" s="9">
        <v>9</v>
      </c>
      <c r="E12" s="9">
        <v>32</v>
      </c>
      <c r="F12" s="9">
        <v>18</v>
      </c>
      <c r="G12" s="9">
        <v>32</v>
      </c>
      <c r="H12" s="23">
        <v>89</v>
      </c>
      <c r="I12" s="8">
        <f>H12*0.6+H13*0.4</f>
      </c>
    </row>
    <row customHeight="true" ht="48" r="13">
      <c r="A13" s="7"/>
      <c r="B13" s="10"/>
      <c r="C13" s="8" t="str">
        <v>分管领导</v>
      </c>
      <c r="D13" s="9">
        <v>9</v>
      </c>
      <c r="E13" s="9">
        <v>32</v>
      </c>
      <c r="F13" s="9">
        <v>18</v>
      </c>
      <c r="G13" s="9">
        <v>32</v>
      </c>
      <c r="H13" s="9">
        <f>SUM(D13:G13)</f>
      </c>
      <c r="I13" s="5"/>
    </row>
    <row customHeight="true" ht="48" r="14">
      <c r="A14" s="14">
        <v>3</v>
      </c>
      <c r="B14" s="15" t="str">
        <v>张晨</v>
      </c>
      <c r="C14" s="8" t="str">
        <v>部门负责人</v>
      </c>
      <c r="D14" s="9">
        <v>7</v>
      </c>
      <c r="E14" s="9">
        <v>23</v>
      </c>
      <c r="F14" s="9">
        <v>16</v>
      </c>
      <c r="G14" s="9">
        <v>23</v>
      </c>
      <c r="H14" s="9">
        <f>SUM(D14:G14)</f>
      </c>
      <c r="I14" s="8">
        <f>H14*0.6+H15*0.4</f>
      </c>
    </row>
    <row customHeight="true" ht="48" r="15">
      <c r="A15" s="7"/>
      <c r="B15" s="10"/>
      <c r="C15" s="8" t="str">
        <v>分管领导</v>
      </c>
      <c r="D15" s="9">
        <v>7</v>
      </c>
      <c r="E15" s="9">
        <v>23</v>
      </c>
      <c r="F15" s="9">
        <v>16</v>
      </c>
      <c r="G15" s="9">
        <v>23</v>
      </c>
      <c r="H15" s="9">
        <f>SUM(D15:G15)</f>
      </c>
      <c r="I15" s="5"/>
    </row>
    <row customHeight="true" ht="48" r="16">
      <c r="A16" s="14">
        <v>4</v>
      </c>
      <c r="B16" s="15" t="str">
        <v>王燕皓</v>
      </c>
      <c r="C16" s="8" t="str">
        <v>部门负责人</v>
      </c>
      <c r="D16" s="9">
        <v>8</v>
      </c>
      <c r="E16" s="9">
        <v>30</v>
      </c>
      <c r="F16" s="9">
        <v>18</v>
      </c>
      <c r="G16" s="9">
        <v>29</v>
      </c>
      <c r="H16" s="9">
        <f>SUM(D16:G16)</f>
      </c>
      <c r="I16" s="8">
        <f>H16*0.6+H17*0.4</f>
      </c>
    </row>
    <row customHeight="true" ht="48" r="17">
      <c r="A17" s="7"/>
      <c r="B17" s="10"/>
      <c r="C17" s="8" t="str">
        <v>分管领导</v>
      </c>
      <c r="D17" s="9">
        <v>8</v>
      </c>
      <c r="E17" s="9">
        <v>30</v>
      </c>
      <c r="F17" s="9">
        <v>18</v>
      </c>
      <c r="G17" s="9">
        <v>29</v>
      </c>
      <c r="H17" s="9">
        <f>SUM(D17:G17)</f>
      </c>
      <c r="I17" s="5"/>
    </row>
    <row customHeight="true" ht="48" r="18">
      <c r="A18" s="14">
        <v>5</v>
      </c>
      <c r="B18" s="15" t="str">
        <v>田岩</v>
      </c>
      <c r="C18" s="8" t="str">
        <v>部门负责人</v>
      </c>
      <c r="D18" s="9">
        <v>7</v>
      </c>
      <c r="E18" s="9">
        <v>24</v>
      </c>
      <c r="F18" s="9">
        <v>16</v>
      </c>
      <c r="G18" s="9">
        <v>22</v>
      </c>
      <c r="H18" s="9">
        <f>SUM(D18:G18)</f>
      </c>
      <c r="I18" s="8">
        <f>H18*0.6+H19*0.4</f>
      </c>
    </row>
    <row customHeight="true" ht="48" r="19">
      <c r="A19" s="7"/>
      <c r="B19" s="10"/>
      <c r="C19" s="8" t="str">
        <v>分管领导</v>
      </c>
      <c r="D19" s="9">
        <v>7</v>
      </c>
      <c r="E19" s="9">
        <v>24</v>
      </c>
      <c r="F19" s="9">
        <v>16</v>
      </c>
      <c r="G19" s="9">
        <v>22</v>
      </c>
      <c r="H19" s="9">
        <f>SUM(D19:G19)</f>
      </c>
      <c r="I19" s="5"/>
    </row>
    <row customHeight="true" ht="48" r="20">
      <c r="A20" s="14">
        <v>6</v>
      </c>
      <c r="B20" s="15" t="str">
        <v>程笑雨</v>
      </c>
      <c r="C20" s="8" t="str">
        <v>部门负责人</v>
      </c>
      <c r="D20" s="9">
        <v>9</v>
      </c>
      <c r="E20" s="9">
        <v>32</v>
      </c>
      <c r="F20" s="9">
        <v>18</v>
      </c>
      <c r="G20" s="9">
        <v>33</v>
      </c>
      <c r="H20" s="9">
        <f>SUM(D20:G20)</f>
      </c>
      <c r="I20" s="8">
        <f>H20*0.6+H21*0.4</f>
      </c>
    </row>
    <row customHeight="true" ht="48" r="21">
      <c r="A21" s="7"/>
      <c r="B21" s="10"/>
      <c r="C21" s="8" t="str">
        <v>分管领导</v>
      </c>
      <c r="D21" s="9">
        <v>9</v>
      </c>
      <c r="E21" s="9">
        <v>32</v>
      </c>
      <c r="F21" s="9">
        <v>18</v>
      </c>
      <c r="G21" s="9">
        <v>33</v>
      </c>
      <c r="H21" s="9">
        <f>SUM(D21:G21)</f>
      </c>
      <c r="I21" s="5"/>
    </row>
    <row customHeight="true" ht="48" r="22">
      <c r="A22" s="14">
        <v>7</v>
      </c>
      <c r="B22" s="15" t="str">
        <v>赵增辉</v>
      </c>
      <c r="C22" s="8" t="str">
        <v>部门负责人</v>
      </c>
      <c r="D22" s="9">
        <v>9</v>
      </c>
      <c r="E22" s="9">
        <v>30</v>
      </c>
      <c r="F22" s="9">
        <v>18</v>
      </c>
      <c r="G22" s="9">
        <v>32</v>
      </c>
      <c r="H22" s="9">
        <f>SUM(D22:G22)</f>
      </c>
      <c r="I22" s="8">
        <f>H22*0.6+H23*0.4</f>
      </c>
    </row>
    <row customHeight="true" ht="48" r="23">
      <c r="A23" s="7"/>
      <c r="B23" s="10"/>
      <c r="C23" s="8" t="str">
        <v>分管领导</v>
      </c>
      <c r="D23" s="9">
        <v>9</v>
      </c>
      <c r="E23" s="9">
        <v>30</v>
      </c>
      <c r="F23" s="9">
        <v>18</v>
      </c>
      <c r="G23" s="9">
        <v>32</v>
      </c>
      <c r="H23" s="9">
        <f>SUM(D23:G23)</f>
      </c>
      <c r="I23" s="5"/>
    </row>
    <row customHeight="true" ht="48" r="24">
      <c r="A24" s="14">
        <v>8</v>
      </c>
      <c r="B24" s="15" t="str">
        <v>郑有池</v>
      </c>
      <c r="C24" s="8" t="str">
        <v>部门负责人</v>
      </c>
      <c r="D24" s="9">
        <v>9</v>
      </c>
      <c r="E24" s="9">
        <v>32</v>
      </c>
      <c r="F24" s="9">
        <v>18</v>
      </c>
      <c r="G24" s="9">
        <v>33</v>
      </c>
      <c r="H24" s="9">
        <f>SUM(D24:G24)</f>
      </c>
      <c r="I24" s="8">
        <f>H24*0.6+H25*0.4</f>
      </c>
    </row>
    <row customHeight="true" ht="48" r="25">
      <c r="A25" s="7"/>
      <c r="B25" s="10"/>
      <c r="C25" s="8" t="str">
        <v>分管领导</v>
      </c>
      <c r="D25" s="9">
        <v>9</v>
      </c>
      <c r="E25" s="9">
        <v>32</v>
      </c>
      <c r="F25" s="9">
        <v>18</v>
      </c>
      <c r="G25" s="9">
        <v>33</v>
      </c>
      <c r="H25" s="9">
        <f>SUM(D25:G25)</f>
      </c>
      <c r="I25" s="5"/>
    </row>
    <row customHeight="true" ht="48" r="26">
      <c r="A26" s="14">
        <v>9</v>
      </c>
      <c r="B26" s="15" t="str">
        <v>钟韵琪</v>
      </c>
      <c r="C26" s="8" t="str">
        <v>部门负责人</v>
      </c>
      <c r="D26" s="9">
        <v>8</v>
      </c>
      <c r="E26" s="9">
        <v>24</v>
      </c>
      <c r="F26" s="9">
        <v>18</v>
      </c>
      <c r="G26" s="9">
        <v>24</v>
      </c>
      <c r="H26" s="9">
        <f>SUM(D26:G26)</f>
      </c>
      <c r="I26" s="8">
        <f>H26*0.6+H27*0.4</f>
      </c>
    </row>
    <row customHeight="true" ht="48" r="27">
      <c r="A27" s="7"/>
      <c r="B27" s="10"/>
      <c r="C27" s="8" t="str">
        <v>分管领导</v>
      </c>
      <c r="D27" s="9">
        <v>8</v>
      </c>
      <c r="E27" s="9">
        <v>24</v>
      </c>
      <c r="F27" s="9">
        <v>18</v>
      </c>
      <c r="G27" s="9">
        <v>24</v>
      </c>
      <c r="H27" s="9">
        <f>SUM(D27:G27)</f>
      </c>
      <c r="I27" s="5"/>
    </row>
    <row customHeight="true" ht="48" r="28">
      <c r="A28" s="14">
        <v>10</v>
      </c>
      <c r="B28" s="15" t="str">
        <v>陈泽</v>
      </c>
      <c r="C28" s="8" t="str">
        <v>部门负责人</v>
      </c>
      <c r="D28" s="9">
        <v>8</v>
      </c>
      <c r="E28" s="9">
        <v>32</v>
      </c>
      <c r="F28" s="9">
        <v>17</v>
      </c>
      <c r="G28" s="9">
        <v>32</v>
      </c>
      <c r="H28" s="9">
        <f>SUM(D28:G28)</f>
      </c>
      <c r="I28" s="8">
        <f>H28*0.6+H29*0.4</f>
      </c>
    </row>
    <row customHeight="true" ht="48" r="29">
      <c r="A29" s="7"/>
      <c r="B29" s="10"/>
      <c r="C29" s="8" t="str">
        <v>分管领导</v>
      </c>
      <c r="D29" s="9">
        <v>8</v>
      </c>
      <c r="E29" s="9">
        <v>32</v>
      </c>
      <c r="F29" s="9">
        <v>17</v>
      </c>
      <c r="G29" s="9">
        <v>32</v>
      </c>
      <c r="H29" s="9">
        <f>SUM(D29:G29)</f>
      </c>
      <c r="I29" s="5"/>
    </row>
    <row customHeight="true" ht="48" r="30">
      <c r="A30" s="14">
        <v>11</v>
      </c>
      <c r="B30" s="15" t="str">
        <v>韩庆媛</v>
      </c>
      <c r="C30" s="8" t="str">
        <v>部门负责人</v>
      </c>
      <c r="D30" s="9">
        <v>8</v>
      </c>
      <c r="E30" s="9">
        <v>30</v>
      </c>
      <c r="F30" s="9">
        <v>17</v>
      </c>
      <c r="G30" s="9">
        <v>30</v>
      </c>
      <c r="H30" s="9">
        <f>SUM(D30:G30)</f>
      </c>
      <c r="I30" s="8">
        <f>H30*0.6+H31*0.4</f>
      </c>
    </row>
    <row customHeight="true" ht="48" r="31">
      <c r="A31" s="7"/>
      <c r="B31" s="10"/>
      <c r="C31" s="8" t="str">
        <v>分管领导</v>
      </c>
      <c r="D31" s="9">
        <v>8</v>
      </c>
      <c r="E31" s="9">
        <v>30</v>
      </c>
      <c r="F31" s="9">
        <v>17</v>
      </c>
      <c r="G31" s="9">
        <v>30</v>
      </c>
      <c r="H31" s="9">
        <f>SUM(D31:G31)</f>
      </c>
      <c r="I31" s="5"/>
    </row>
    <row customHeight="true" ht="19" r="32">
      <c r="C32" s="11" t="str">
        <v>强制分布</v>
      </c>
      <c r="D32" s="11" t="s">
        <v>4</v>
      </c>
      <c r="J32" s="12">
        <f>2/11</f>
      </c>
    </row>
    <row customHeight="true" ht="19" r="33">
      <c r="C33" s="11"/>
      <c r="D33" s="11" t="s">
        <v>5</v>
      </c>
      <c r="J33" s="12">
        <f>7/11</f>
      </c>
    </row>
    <row customHeight="true" ht="19" r="34">
      <c r="C34" s="11"/>
      <c r="D34" s="11" t="s">
        <v>6</v>
      </c>
      <c r="J34" s="12">
        <f>2/11</f>
      </c>
    </row>
  </sheetData>
  <mergeCells>
    <mergeCell ref="A1:I1"/>
    <mergeCell ref="A2:B2"/>
    <mergeCell ref="E2:F2"/>
    <mergeCell ref="C3:I3"/>
    <mergeCell ref="A3:A9"/>
    <mergeCell ref="A10:A11"/>
    <mergeCell ref="A12:A13"/>
    <mergeCell ref="A14:A15"/>
    <mergeCell ref="A16:A17"/>
    <mergeCell ref="A18:A19"/>
    <mergeCell ref="A20:A21"/>
    <mergeCell ref="A22:A23"/>
    <mergeCell ref="A24:A25"/>
    <mergeCell ref="A26:A27"/>
    <mergeCell ref="A28:A29"/>
    <mergeCell ref="A30:A31"/>
    <mergeCell ref="B3:B9"/>
    <mergeCell ref="B10:B11"/>
    <mergeCell ref="B12:B13"/>
    <mergeCell ref="B14:B15"/>
    <mergeCell ref="B16:B17"/>
    <mergeCell ref="B18:B19"/>
    <mergeCell ref="B20:B21"/>
    <mergeCell ref="B22:B23"/>
    <mergeCell ref="B24:B25"/>
    <mergeCell ref="B26:B27"/>
    <mergeCell ref="B28:B29"/>
    <mergeCell ref="B30:B31"/>
    <mergeCell ref="C5:C8"/>
    <mergeCell ref="D5:D8"/>
    <mergeCell ref="E5:E8"/>
    <mergeCell ref="F5:F8"/>
    <mergeCell ref="G5:G8"/>
    <mergeCell ref="H4:H8"/>
    <mergeCell ref="I4:I8"/>
    <mergeCell ref="I10:I11"/>
    <mergeCell ref="I12:I13"/>
    <mergeCell ref="I14:I15"/>
    <mergeCell ref="I16:I17"/>
    <mergeCell ref="I18:I19"/>
    <mergeCell ref="I20:I21"/>
    <mergeCell ref="I22:I23"/>
    <mergeCell ref="I24:I25"/>
    <mergeCell ref="I26:I27"/>
    <mergeCell ref="I28:I29"/>
    <mergeCell ref="I30:I31"/>
  </mergeCells>
  <dataValidations count="6">
    <dataValidation allowBlank="true" errorStyle="stop" operator="between" showErrorMessage="true" sqref="F10 F12 F14 F16 F18 F20 F22 F24 F26 F28 F30" type="whole">
      <formula1>0</formula1>
      <formula2>20</formula2>
    </dataValidation>
    <dataValidation allowBlank="true" errorStyle="stop" operator="between" showErrorMessage="true" sqref="D11 D13 D15 D17 D19 D21 D23 D25 D27 D29 D31" type="whole">
      <formula1>0</formula1>
      <formula2>10</formula2>
    </dataValidation>
    <dataValidation allowBlank="true" errorStyle="stop" operator="between" showErrorMessage="true" sqref="F11 F13 F15 F17 F19 F21 F23 F25 F27 F29 F31" type="whole">
      <formula1>0</formula1>
      <formula2>20</formula2>
    </dataValidation>
    <dataValidation allowBlank="true" errorStyle="stop" operator="between" showErrorMessage="true" sqref="E11 E13 E15 E17 E19 E21 E23 E25 E27 E29 E31 G11 G13 G15 G17 G19 G21 G23 G25 G27 G29 G31" type="whole">
      <formula1>0</formula1>
      <formula2>35</formula2>
    </dataValidation>
    <dataValidation allowBlank="true" errorStyle="stop" operator="between" showErrorMessage="true" sqref="E10 E12 E14 E16 E18 E20 E22 E24 E26 E28 E30 G10 G12 G14 G16 G18 G20 G22 G24 G26 G28 G30" type="whole">
      <formula1>0</formula1>
      <formula2>35</formula2>
    </dataValidation>
    <dataValidation allowBlank="true" errorStyle="stop" operator="between" showErrorMessage="true" sqref="D10 D12 D14 D16 D18 D20 D22 D24 D26 D28 D30" type="whole">
      <formula1>0</formula1>
      <formula2>10</formula2>
    </dataValidation>
  </dataValidations>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D10" xSplit="3" ySplit="9"/>
    </sheetView>
  </sheetViews>
  <sheetFormatPr defaultColWidth="14" defaultRowHeight="19"/>
  <cols>
    <col collapsed="false" customWidth="true" hidden="false" max="1" min="1" style="0" width="8"/>
    <col collapsed="false" customWidth="true" hidden="false" max="2" min="2" style="0" width="11"/>
    <col collapsed="false" customWidth="true" hidden="false" max="3" min="3" style="0" width="11"/>
    <col collapsed="false" customWidth="true" hidden="false" max="4" min="4" style="0" width="32"/>
    <col collapsed="false" customWidth="true" hidden="false" max="5" min="5" style="0" width="35"/>
    <col collapsed="false" customWidth="true" hidden="false" max="6" min="6" style="0" width="39"/>
    <col collapsed="false" customWidth="true" hidden="false" max="7" min="7" style="0" width="24"/>
    <col collapsed="false" customWidth="true" hidden="false" max="8" min="8" style="0" width="8"/>
    <col collapsed="false" customWidth="true" hidden="false" max="9" min="9" style="0" width="8"/>
    <col collapsed="false" customWidth="true" hidden="false" max="10" min="10" style="0" width="11"/>
    <col collapsed="false" customWidth="true" hidden="false" max="11" min="11" style="0" width="11"/>
    <col collapsed="false" customWidth="true" hidden="false" max="12" min="12" style="0" width="11"/>
    <col collapsed="false" customWidth="true" hidden="false" max="13" min="13" style="0" width="11"/>
    <col collapsed="false" customWidth="true" hidden="false" max="14" min="14" style="0" width="11"/>
    <col collapsed="false" customWidth="true" hidden="false" max="15" min="15" style="0" width="11"/>
    <col collapsed="false" customWidth="true" hidden="false" max="16" min="16" style="0" width="11"/>
    <col collapsed="false" customWidth="true" hidden="false" max="17" min="17" style="0" width="11"/>
    <col collapsed="false" customWidth="true" hidden="false" max="18" min="18" style="0" width="11"/>
    <col collapsed="false" customWidth="true" hidden="false" max="19" min="19" style="0" width="11"/>
    <col collapsed="false" customWidth="true" hidden="false" max="20" min="20" style="0" width="11"/>
  </cols>
  <sheetData>
    <row customHeight="true" ht="52" r="1">
      <c r="A1" s="13" t="str">
        <v>2024年度考核评价——个人能力态度综合评价</v>
      </c>
      <c r="B1" s="13"/>
      <c r="C1" s="13"/>
      <c r="D1" s="13"/>
      <c r="E1" s="13"/>
      <c r="F1" s="13"/>
      <c r="G1" s="13"/>
      <c r="H1" s="13"/>
      <c r="I1" s="13"/>
    </row>
    <row customHeight="true" ht="26" r="2">
      <c r="A2" s="19" t="str">
        <v>部门/项目</v>
      </c>
      <c r="B2" s="20"/>
      <c r="C2" s="12" t="str">
        <v>BIM中心</v>
      </c>
      <c r="D2" s="12"/>
      <c r="E2" s="17"/>
      <c r="F2" s="17"/>
      <c r="G2" s="18" t="str">
        <v>部门总人数</v>
      </c>
      <c r="H2" s="18">
        <v>18</v>
      </c>
    </row>
    <row customHeight="true" ht="29" r="3">
      <c r="A3" s="6" t="str">
        <v>序号</v>
      </c>
      <c r="B3" s="6" t="str">
        <v>被考评人姓名</v>
      </c>
      <c r="C3" s="6" t="str">
        <v>能力态度</v>
      </c>
      <c r="D3" s="21"/>
      <c r="E3" s="21"/>
      <c r="F3" s="21"/>
      <c r="G3" s="21"/>
      <c r="H3" s="21"/>
      <c r="I3" s="22"/>
    </row>
    <row customHeight="true" ht="29" r="4">
      <c r="A4" s="1"/>
      <c r="B4" s="1"/>
      <c r="C4" s="2" t="str">
        <v>考核指标</v>
      </c>
      <c r="D4" s="6" t="str">
        <v>1、积极性主动性</v>
      </c>
      <c r="E4" s="6" t="str">
        <v>2、执行力工作效率及质量</v>
      </c>
      <c r="F4" s="6" t="str">
        <v>3、劳动纪律企业文化</v>
      </c>
      <c r="G4" s="6" t="str">
        <v>4、工作饱和度</v>
      </c>
      <c r="H4" s="2" t="str">
        <v>小计</v>
      </c>
      <c r="I4" s="2" t="str">
        <v>合计</v>
      </c>
    </row>
    <row customHeight="true" ht="61" r="5">
      <c r="A5" s="1"/>
      <c r="B5" s="1"/>
      <c r="C5" s="2" t="str">
        <v>评分标准</v>
      </c>
      <c r="D5" s="3" t="str">
        <v>1、独立提出切实可行的改进方案，并推进实施，取得良好的效果；(8-10分)
2、工作中主动发现问题，提出有价值的改进建议；(6-7分)
3、主动调动各方面资源和问题，但没有改进建议；(4-5分)
4、反映工作中的困难和问题，但没有改进建议；(2-3分)
5、被动执行上级安排的工作，遇到困难被动等待，对工作中的问题视而不见。(0-1分)</v>
      </c>
      <c r="E5" s="3" t="str">
        <v>1、能够将分配到本岗位的工作出色、快速的执行，并能经常取得超出期望的工作成果；(29-35分)
2、能够将分配到本岗位的工作及时执行，并保质保量地完成，偶尔有工作成果超出期望；(22-28分)
3、能够将分配到本岗位的工作按要求执行，工作成果也基本符合标准；(15-21分)
4、基本能够完成分配到本岗位的工作任务，但工作效率和工作质量还需提高；(7-14分)
5、工作拖拉、不能完全将分配到的工作及时完成，工作质量不高，经常出现返工的情况。(0-6分)</v>
      </c>
      <c r="F5" s="3" t="str">
        <v>1、偶有迟到(不超过2次/月)，且均不超过3分钟，无早退，无病事假；无窜岗脱岗、无消极怠工；衣着大方合体，待人礼貌热情；充满正能量，能很好地融入企业文化；(16-20分)
2、月迟到次数3-4次，1次迟到30分钟以内，病事假0-2天；衣着发饰不够大方合体，不方便约见甲方或客人；(10-15分)
3、经常迟到，屡教不改，迟到30分钟2次及以上，有无故不到岗情况；有窜岗、脱岗、消极怠工行为；正能量不足，难以融入企业文化；(4-9分)
4、未经审批，长期不到岗；窜岗、脱岗、消极怠工行为严重；负能量满满，与企业文化相悖。(0-3分)</v>
      </c>
      <c r="G5" s="4" t="str">
        <v>1、非常饱和；(29-35分)
2、比较饱和；(22-28分)
3、饱和；(15-21分)
4、一般；(7-14分)
5、不饱和。(0-6分)</v>
      </c>
      <c r="H5" s="1"/>
      <c r="I5" s="1"/>
    </row>
    <row customHeight="true" ht="61" r="6">
      <c r="A6" s="1"/>
      <c r="B6" s="1"/>
      <c r="C6" s="1"/>
      <c r="D6" s="1"/>
      <c r="E6" s="1"/>
      <c r="F6" s="1"/>
      <c r="G6" s="1"/>
      <c r="H6" s="1"/>
      <c r="I6" s="1"/>
    </row>
    <row customHeight="true" ht="61" r="7">
      <c r="A7" s="1"/>
      <c r="B7" s="1"/>
      <c r="C7" s="1"/>
      <c r="D7" s="1"/>
      <c r="E7" s="1"/>
      <c r="F7" s="1"/>
      <c r="G7" s="1"/>
      <c r="H7" s="1"/>
      <c r="I7" s="1"/>
    </row>
    <row customHeight="true" ht="23" r="8">
      <c r="A8" s="1"/>
      <c r="B8" s="1"/>
      <c r="C8" s="5"/>
      <c r="D8" s="5"/>
      <c r="E8" s="5"/>
      <c r="F8" s="5"/>
      <c r="G8" s="5"/>
      <c r="H8" s="5"/>
      <c r="I8" s="5"/>
    </row>
    <row customHeight="true" ht="29" r="9">
      <c r="A9" s="5"/>
      <c r="B9" s="5"/>
      <c r="C9" s="2" t="str">
        <v>权重</v>
      </c>
      <c r="D9" s="2">
        <v>10</v>
      </c>
      <c r="E9" s="2">
        <v>35</v>
      </c>
      <c r="F9" s="6">
        <v>20</v>
      </c>
      <c r="G9" s="6">
        <v>35</v>
      </c>
      <c r="H9" s="6">
        <v>100</v>
      </c>
      <c r="I9" s="2">
        <f>SUM(D9:G9)</f>
      </c>
    </row>
    <row customHeight="true" ht="48" r="10">
      <c r="A10" s="14">
        <v>1</v>
      </c>
      <c r="B10" s="24" t="str">
        <v>关辉辉</v>
      </c>
      <c r="C10" s="8" t="str">
        <v>部门负责人</v>
      </c>
      <c r="D10" s="9">
        <v>6</v>
      </c>
      <c r="E10" s="9">
        <v>29</v>
      </c>
      <c r="F10" s="9">
        <v>17</v>
      </c>
      <c r="G10" s="9">
        <v>30</v>
      </c>
      <c r="H10" s="9">
        <f>SUM(D10:G10)</f>
      </c>
      <c r="I10" s="8">
        <f>H10*0.6+H11*0.4</f>
      </c>
    </row>
    <row customHeight="true" ht="48" r="11">
      <c r="A11" s="7"/>
      <c r="B11" s="10"/>
      <c r="C11" s="8" t="str">
        <v>分管领导</v>
      </c>
      <c r="D11" s="9">
        <v>6</v>
      </c>
      <c r="E11" s="9">
        <v>29</v>
      </c>
      <c r="F11" s="9">
        <v>17</v>
      </c>
      <c r="G11" s="9">
        <v>30</v>
      </c>
      <c r="H11" s="9">
        <f>SUM(D11:G11)</f>
      </c>
      <c r="I11" s="5"/>
    </row>
    <row customHeight="true" ht="48" r="12">
      <c r="A12" s="14">
        <v>2</v>
      </c>
      <c r="B12" s="24" t="str">
        <v>刘志强</v>
      </c>
      <c r="C12" s="8" t="str">
        <v>部门负责人</v>
      </c>
      <c r="D12" s="9">
        <v>8</v>
      </c>
      <c r="E12" s="9">
        <v>33</v>
      </c>
      <c r="F12" s="9">
        <v>18</v>
      </c>
      <c r="G12" s="9">
        <v>35</v>
      </c>
      <c r="H12" s="9">
        <f>SUM(D12:G12)</f>
      </c>
      <c r="I12" s="8">
        <f>H12*0.6+H13*0.4</f>
      </c>
    </row>
    <row customHeight="true" ht="48" r="13">
      <c r="A13" s="7"/>
      <c r="B13" s="10"/>
      <c r="C13" s="8" t="str">
        <v>分管领导</v>
      </c>
      <c r="D13" s="9">
        <v>7</v>
      </c>
      <c r="E13" s="9">
        <v>30</v>
      </c>
      <c r="F13" s="9">
        <v>16</v>
      </c>
      <c r="G13" s="9">
        <v>30</v>
      </c>
      <c r="H13" s="9">
        <f>SUM(D13:G13)</f>
      </c>
      <c r="I13" s="5"/>
    </row>
    <row customHeight="true" ht="48" r="14">
      <c r="A14" s="14">
        <v>3</v>
      </c>
      <c r="B14" s="24" t="str">
        <v>刘焱茹</v>
      </c>
      <c r="C14" s="8" t="str">
        <v>部门负责人</v>
      </c>
      <c r="D14" s="9">
        <v>7</v>
      </c>
      <c r="E14" s="9">
        <v>30</v>
      </c>
      <c r="F14" s="9">
        <v>16</v>
      </c>
      <c r="G14" s="9">
        <v>29</v>
      </c>
      <c r="H14" s="9">
        <f>SUM(D14:G14)</f>
      </c>
      <c r="I14" s="8">
        <f>H14*0.6+H15*0.4</f>
      </c>
    </row>
    <row customHeight="true" ht="48" r="15">
      <c r="A15" s="7"/>
      <c r="B15" s="10"/>
      <c r="C15" s="8" t="str">
        <v>分管领导</v>
      </c>
      <c r="D15" s="9">
        <v>7</v>
      </c>
      <c r="E15" s="9">
        <v>30</v>
      </c>
      <c r="F15" s="9">
        <v>18</v>
      </c>
      <c r="G15" s="9">
        <v>29</v>
      </c>
      <c r="H15" s="9">
        <f>SUM(D15:G15)</f>
      </c>
      <c r="I15" s="5"/>
    </row>
    <row customHeight="true" ht="48" r="16">
      <c r="A16" s="14">
        <v>4</v>
      </c>
      <c r="B16" s="24" t="str">
        <v>刘美芳</v>
      </c>
      <c r="C16" s="8" t="str">
        <v>部门负责人</v>
      </c>
      <c r="D16" s="9">
        <v>8</v>
      </c>
      <c r="E16" s="9">
        <v>32</v>
      </c>
      <c r="F16" s="9">
        <v>16</v>
      </c>
      <c r="G16" s="9">
        <v>32</v>
      </c>
      <c r="H16" s="9">
        <f>SUM(D16:G16)</f>
      </c>
      <c r="I16" s="8">
        <f>H16*0.6+H17*0.4</f>
      </c>
    </row>
    <row customHeight="true" ht="48" r="17">
      <c r="A17" s="7"/>
      <c r="B17" s="10"/>
      <c r="C17" s="8" t="str">
        <v>分管领导</v>
      </c>
      <c r="D17" s="9">
        <v>7</v>
      </c>
      <c r="E17" s="9">
        <v>30</v>
      </c>
      <c r="F17" s="9">
        <v>16</v>
      </c>
      <c r="G17" s="9">
        <v>32</v>
      </c>
      <c r="H17" s="9">
        <f>SUM(D17:G17)</f>
      </c>
      <c r="I17" s="5"/>
    </row>
    <row customHeight="true" ht="48" r="18">
      <c r="A18" s="14">
        <v>5</v>
      </c>
      <c r="B18" s="24" t="str">
        <v>姜艳萍</v>
      </c>
      <c r="C18" s="8" t="str">
        <v>部门负责人</v>
      </c>
      <c r="D18" s="9">
        <v>6</v>
      </c>
      <c r="E18" s="9">
        <v>23</v>
      </c>
      <c r="F18" s="9">
        <v>18</v>
      </c>
      <c r="G18" s="9">
        <v>22</v>
      </c>
      <c r="H18" s="9">
        <f>SUM(D18:G18)</f>
      </c>
      <c r="I18" s="8">
        <f>H18*0.6+H19*0.4</f>
      </c>
    </row>
    <row customHeight="true" ht="48" r="19">
      <c r="A19" s="7"/>
      <c r="B19" s="10"/>
      <c r="C19" s="8" t="str">
        <v>分管领导</v>
      </c>
      <c r="D19" s="9">
        <v>6</v>
      </c>
      <c r="E19" s="9">
        <v>23</v>
      </c>
      <c r="F19" s="9">
        <v>18</v>
      </c>
      <c r="G19" s="9">
        <v>22</v>
      </c>
      <c r="H19" s="9">
        <f>SUM(D19:G19)</f>
      </c>
      <c r="I19" s="5"/>
    </row>
    <row customHeight="true" ht="48" r="20">
      <c r="A20" s="14">
        <v>6</v>
      </c>
      <c r="B20" s="24" t="str">
        <v>宋彩娟</v>
      </c>
      <c r="C20" s="8" t="str">
        <v>部门负责人</v>
      </c>
      <c r="D20" s="9">
        <v>7</v>
      </c>
      <c r="E20" s="9">
        <v>32</v>
      </c>
      <c r="F20" s="9">
        <v>17</v>
      </c>
      <c r="G20" s="9">
        <v>34</v>
      </c>
      <c r="H20" s="9">
        <f>SUM(D20:G20)</f>
      </c>
      <c r="I20" s="8">
        <f>H20*0.6+H21*0.4</f>
      </c>
    </row>
    <row customHeight="true" ht="48" r="21">
      <c r="A21" s="7"/>
      <c r="B21" s="10"/>
      <c r="C21" s="8" t="str">
        <v>分管领导</v>
      </c>
      <c r="D21" s="9">
        <v>7</v>
      </c>
      <c r="E21" s="9">
        <v>32</v>
      </c>
      <c r="F21" s="9">
        <v>17</v>
      </c>
      <c r="G21" s="9">
        <v>34</v>
      </c>
      <c r="H21" s="9">
        <f>SUM(D21:G21)</f>
      </c>
      <c r="I21" s="5"/>
    </row>
    <row customHeight="true" ht="48" r="22">
      <c r="A22" s="14">
        <v>7</v>
      </c>
      <c r="B22" s="24" t="str">
        <v>张凯</v>
      </c>
      <c r="C22" s="8" t="str">
        <v>部门负责人</v>
      </c>
      <c r="D22" s="9">
        <v>7</v>
      </c>
      <c r="E22" s="9">
        <v>23</v>
      </c>
      <c r="F22" s="9">
        <v>18</v>
      </c>
      <c r="G22" s="9">
        <v>21</v>
      </c>
      <c r="H22" s="9">
        <f>SUM(D22:G22)</f>
      </c>
      <c r="I22" s="8">
        <f>H22*0.6+H23*0.4</f>
      </c>
    </row>
    <row customHeight="true" ht="48" r="23">
      <c r="A23" s="7"/>
      <c r="B23" s="10"/>
      <c r="C23" s="8" t="str">
        <v>分管领导</v>
      </c>
      <c r="D23" s="9">
        <v>7</v>
      </c>
      <c r="E23" s="9">
        <v>20</v>
      </c>
      <c r="F23" s="9">
        <v>17</v>
      </c>
      <c r="G23" s="9">
        <v>20</v>
      </c>
      <c r="H23" s="9">
        <f>SUM(D23:G23)</f>
      </c>
      <c r="I23" s="5"/>
    </row>
    <row customHeight="true" ht="48" r="24">
      <c r="A24" s="14">
        <v>8</v>
      </c>
      <c r="B24" s="24" t="str">
        <v>张岩</v>
      </c>
      <c r="C24" s="8" t="str">
        <v>部门负责人</v>
      </c>
      <c r="D24" s="9">
        <v>7</v>
      </c>
      <c r="E24" s="9">
        <v>29</v>
      </c>
      <c r="F24" s="9">
        <v>17</v>
      </c>
      <c r="G24" s="9">
        <v>31</v>
      </c>
      <c r="H24" s="9">
        <f>SUM(D24:G24)</f>
      </c>
      <c r="I24" s="8">
        <f>H24*0.6+H25*0.4</f>
      </c>
    </row>
    <row customHeight="true" ht="48" r="25">
      <c r="A25" s="7"/>
      <c r="B25" s="10"/>
      <c r="C25" s="8" t="str">
        <v>分管领导</v>
      </c>
      <c r="D25" s="9">
        <v>7</v>
      </c>
      <c r="E25" s="9">
        <v>29</v>
      </c>
      <c r="F25" s="9">
        <v>17</v>
      </c>
      <c r="G25" s="9">
        <v>31</v>
      </c>
      <c r="H25" s="9">
        <f>SUM(D25:G25)</f>
      </c>
      <c r="I25" s="5"/>
    </row>
    <row customHeight="true" ht="48" r="26">
      <c r="A26" s="14">
        <v>9</v>
      </c>
      <c r="B26" s="24" t="str">
        <v>方琦</v>
      </c>
      <c r="C26" s="8" t="str">
        <v>部门负责人</v>
      </c>
      <c r="D26" s="9">
        <v>8</v>
      </c>
      <c r="E26" s="9">
        <v>30</v>
      </c>
      <c r="F26" s="9">
        <v>16</v>
      </c>
      <c r="G26" s="9">
        <v>28</v>
      </c>
      <c r="H26" s="9">
        <f>SUM(D26:G26)</f>
      </c>
      <c r="I26" s="8">
        <f>H26*0.6+H27*0.4</f>
      </c>
    </row>
    <row customHeight="true" ht="48" r="27">
      <c r="A27" s="7"/>
      <c r="B27" s="10"/>
      <c r="C27" s="8" t="str">
        <v>分管领导</v>
      </c>
      <c r="D27" s="9">
        <v>8</v>
      </c>
      <c r="E27" s="9">
        <v>30</v>
      </c>
      <c r="F27" s="9">
        <v>16</v>
      </c>
      <c r="G27" s="9">
        <v>28</v>
      </c>
      <c r="H27" s="9">
        <f>SUM(D27:G27)</f>
      </c>
      <c r="I27" s="5"/>
    </row>
    <row customHeight="true" ht="48" r="28">
      <c r="A28" s="14">
        <v>10</v>
      </c>
      <c r="B28" s="24" t="str">
        <v>朱胜龙</v>
      </c>
      <c r="C28" s="8" t="str">
        <v>部门负责人</v>
      </c>
      <c r="D28" s="9">
        <v>6</v>
      </c>
      <c r="E28" s="9">
        <v>29</v>
      </c>
      <c r="F28" s="9">
        <v>16</v>
      </c>
      <c r="G28" s="9">
        <v>32</v>
      </c>
      <c r="H28" s="9">
        <f>SUM(D28:G28)</f>
      </c>
      <c r="I28" s="8">
        <f>H28*0.6+H29*0.4</f>
      </c>
    </row>
    <row customHeight="true" ht="48" r="29">
      <c r="A29" s="7"/>
      <c r="B29" s="10"/>
      <c r="C29" s="8" t="str">
        <v>分管领导</v>
      </c>
      <c r="D29" s="9">
        <v>6</v>
      </c>
      <c r="E29" s="9">
        <v>29</v>
      </c>
      <c r="F29" s="9">
        <v>16</v>
      </c>
      <c r="G29" s="9">
        <v>32</v>
      </c>
      <c r="H29" s="9">
        <f>SUM(D29:G29)</f>
      </c>
      <c r="I29" s="5"/>
    </row>
    <row customHeight="true" ht="48" r="30">
      <c r="A30" s="14">
        <v>11</v>
      </c>
      <c r="B30" s="24" t="str">
        <v>李彤</v>
      </c>
      <c r="C30" s="8" t="str">
        <v>部门负责人</v>
      </c>
      <c r="D30" s="9">
        <v>8</v>
      </c>
      <c r="E30" s="9">
        <v>32</v>
      </c>
      <c r="F30" s="9">
        <v>15</v>
      </c>
      <c r="G30" s="9">
        <v>28</v>
      </c>
      <c r="H30" s="9">
        <f>SUM(D30:G30)</f>
      </c>
      <c r="I30" s="8">
        <f>H30*0.6+H31*0.4</f>
      </c>
    </row>
    <row customHeight="true" ht="48" r="31">
      <c r="A31" s="7"/>
      <c r="B31" s="10"/>
      <c r="C31" s="8" t="str">
        <v>分管领导</v>
      </c>
      <c r="D31" s="9">
        <v>8</v>
      </c>
      <c r="E31" s="9">
        <v>32</v>
      </c>
      <c r="F31" s="9">
        <v>15</v>
      </c>
      <c r="G31" s="9">
        <v>28</v>
      </c>
      <c r="H31" s="9">
        <f>SUM(D31:G31)</f>
      </c>
      <c r="I31" s="5"/>
    </row>
    <row customHeight="true" ht="48" r="32">
      <c r="A32" s="14">
        <v>12</v>
      </c>
      <c r="B32" s="24" t="str">
        <v>杨曾光</v>
      </c>
      <c r="C32" s="8" t="str">
        <v>部门负责人</v>
      </c>
      <c r="D32" s="9">
        <v>8</v>
      </c>
      <c r="E32" s="9">
        <v>33</v>
      </c>
      <c r="F32" s="9">
        <v>17</v>
      </c>
      <c r="G32" s="9">
        <v>35</v>
      </c>
      <c r="H32" s="9">
        <f>SUM(D32:G32)</f>
      </c>
      <c r="I32" s="8">
        <f>H32*0.6+H33*0.4</f>
      </c>
    </row>
    <row customHeight="true" ht="48" r="33">
      <c r="A33" s="7"/>
      <c r="B33" s="10"/>
      <c r="C33" s="8" t="str">
        <v>分管领导</v>
      </c>
      <c r="D33" s="9">
        <v>8</v>
      </c>
      <c r="E33" s="9">
        <v>33</v>
      </c>
      <c r="F33" s="9">
        <v>17</v>
      </c>
      <c r="G33" s="9">
        <v>35</v>
      </c>
      <c r="H33" s="9">
        <f>SUM(D33:G33)</f>
      </c>
      <c r="I33" s="5"/>
    </row>
    <row customHeight="true" ht="48" r="34">
      <c r="A34" s="14">
        <v>13</v>
      </c>
      <c r="B34" s="24" t="str">
        <v>王海龙</v>
      </c>
      <c r="C34" s="8" t="str">
        <v>部门负责人</v>
      </c>
      <c r="D34" s="9">
        <v>7</v>
      </c>
      <c r="E34" s="9">
        <v>32</v>
      </c>
      <c r="F34" s="9">
        <v>17</v>
      </c>
      <c r="G34" s="9">
        <v>34</v>
      </c>
      <c r="H34" s="9">
        <f>SUM(D34:G34)</f>
      </c>
      <c r="I34" s="8">
        <f>H34*0.6+H35*0.4</f>
      </c>
    </row>
    <row customHeight="true" ht="48" r="35">
      <c r="A35" s="7"/>
      <c r="B35" s="10"/>
      <c r="C35" s="8" t="str">
        <v>分管领导</v>
      </c>
      <c r="D35" s="9">
        <v>7</v>
      </c>
      <c r="E35" s="9">
        <v>32</v>
      </c>
      <c r="F35" s="9">
        <v>17</v>
      </c>
      <c r="G35" s="9">
        <v>34</v>
      </c>
      <c r="H35" s="9">
        <f>SUM(D35:G35)</f>
      </c>
      <c r="I35" s="5"/>
    </row>
    <row customHeight="true" ht="48" r="36">
      <c r="A36" s="14">
        <v>14</v>
      </c>
      <c r="B36" s="24" t="str">
        <v>胡亚丽</v>
      </c>
      <c r="C36" s="8" t="str">
        <v>部门负责人</v>
      </c>
      <c r="D36" s="9">
        <v>6</v>
      </c>
      <c r="E36" s="9">
        <v>30</v>
      </c>
      <c r="F36" s="9">
        <v>15</v>
      </c>
      <c r="G36" s="9">
        <v>32</v>
      </c>
      <c r="H36" s="9">
        <f>SUM(D36:G36)</f>
      </c>
      <c r="I36" s="8">
        <f>H36*0.6+H37*0.4</f>
      </c>
    </row>
    <row customHeight="true" ht="48" r="37">
      <c r="A37" s="7"/>
      <c r="B37" s="10"/>
      <c r="C37" s="8" t="str">
        <v>分管领导</v>
      </c>
      <c r="D37" s="9">
        <v>6</v>
      </c>
      <c r="E37" s="9">
        <v>30</v>
      </c>
      <c r="F37" s="9">
        <v>15</v>
      </c>
      <c r="G37" s="9">
        <v>32</v>
      </c>
      <c r="H37" s="9">
        <f>SUM(D37:G37)</f>
      </c>
      <c r="I37" s="5"/>
    </row>
    <row customHeight="true" ht="48" r="38">
      <c r="A38" s="14">
        <v>15</v>
      </c>
      <c r="B38" s="24" t="str">
        <v>赵新光</v>
      </c>
      <c r="C38" s="8" t="str">
        <v>部门负责人</v>
      </c>
      <c r="D38" s="9">
        <v>8</v>
      </c>
      <c r="E38" s="9">
        <v>30</v>
      </c>
      <c r="F38" s="9">
        <v>18</v>
      </c>
      <c r="G38" s="9">
        <v>32</v>
      </c>
      <c r="H38" s="9">
        <f>SUM(D38:G38)</f>
      </c>
      <c r="I38" s="8">
        <f>H38*0.6+H39*0.4</f>
      </c>
    </row>
    <row customHeight="true" ht="48" r="39">
      <c r="A39" s="7"/>
      <c r="B39" s="10"/>
      <c r="C39" s="8" t="str">
        <v>分管领导</v>
      </c>
      <c r="D39" s="9">
        <v>8</v>
      </c>
      <c r="E39" s="9">
        <v>30</v>
      </c>
      <c r="F39" s="9">
        <v>18</v>
      </c>
      <c r="G39" s="9">
        <v>32</v>
      </c>
      <c r="H39" s="9">
        <f>SUM(D39:G39)</f>
      </c>
      <c r="I39" s="5"/>
    </row>
    <row customHeight="true" ht="48" r="40">
      <c r="A40" s="14">
        <v>16</v>
      </c>
      <c r="B40" s="24" t="str">
        <v>郭雨晨</v>
      </c>
      <c r="C40" s="8" t="str">
        <v>部门负责人</v>
      </c>
      <c r="D40" s="9">
        <v>7</v>
      </c>
      <c r="E40" s="9">
        <v>30</v>
      </c>
      <c r="F40" s="9">
        <v>16</v>
      </c>
      <c r="G40" s="9">
        <v>28</v>
      </c>
      <c r="H40" s="9">
        <f>SUM(D40:G40)</f>
      </c>
      <c r="I40" s="8">
        <f>H40*0.6+H41*0.4</f>
      </c>
    </row>
    <row customHeight="true" ht="48" r="41">
      <c r="A41" s="7"/>
      <c r="B41" s="10"/>
      <c r="C41" s="8" t="str">
        <v>分管领导</v>
      </c>
      <c r="D41" s="9">
        <v>7</v>
      </c>
      <c r="E41" s="9">
        <v>30</v>
      </c>
      <c r="F41" s="9">
        <v>16</v>
      </c>
      <c r="G41" s="9">
        <v>28</v>
      </c>
      <c r="H41" s="9">
        <f>SUM(D41:G41)</f>
      </c>
      <c r="I41" s="5"/>
    </row>
    <row customHeight="true" ht="48" r="42">
      <c r="A42" s="14">
        <v>17</v>
      </c>
      <c r="B42" s="24" t="str">
        <v>陈望</v>
      </c>
      <c r="C42" s="8" t="str">
        <v>部门负责人</v>
      </c>
      <c r="D42" s="9">
        <v>7</v>
      </c>
      <c r="E42" s="9">
        <v>30</v>
      </c>
      <c r="F42" s="9">
        <v>17</v>
      </c>
      <c r="G42" s="9">
        <v>30</v>
      </c>
      <c r="H42" s="9">
        <f>SUM(D42:G42)</f>
      </c>
      <c r="I42" s="8">
        <f>H42*0.6+H43*0.4</f>
      </c>
    </row>
    <row customHeight="true" ht="48" r="43">
      <c r="A43" s="7"/>
      <c r="B43" s="10"/>
      <c r="C43" s="8" t="str">
        <v>分管领导</v>
      </c>
      <c r="D43" s="9">
        <v>7</v>
      </c>
      <c r="E43" s="9">
        <v>30</v>
      </c>
      <c r="F43" s="9">
        <v>17</v>
      </c>
      <c r="G43" s="9">
        <v>30</v>
      </c>
      <c r="H43" s="9">
        <f>SUM(D43:G43)</f>
      </c>
      <c r="I43" s="5"/>
    </row>
    <row customHeight="true" ht="48" r="44">
      <c r="A44" s="14">
        <v>18</v>
      </c>
      <c r="B44" s="24" t="str">
        <v>马海珍</v>
      </c>
      <c r="C44" s="8" t="str">
        <v>部门负责人</v>
      </c>
      <c r="D44" s="9">
        <v>6</v>
      </c>
      <c r="E44" s="9">
        <v>30</v>
      </c>
      <c r="F44" s="9">
        <v>17</v>
      </c>
      <c r="G44" s="9">
        <v>29</v>
      </c>
      <c r="H44" s="9">
        <f>SUM(D44:G44)</f>
      </c>
      <c r="I44" s="8">
        <f>H44*0.6+H45*0.4</f>
      </c>
    </row>
    <row customHeight="true" ht="48" r="45">
      <c r="A45" s="7"/>
      <c r="B45" s="10"/>
      <c r="C45" s="8" t="str">
        <v>分管领导</v>
      </c>
      <c r="D45" s="9">
        <v>6</v>
      </c>
      <c r="E45" s="9">
        <v>30</v>
      </c>
      <c r="F45" s="9">
        <v>17</v>
      </c>
      <c r="G45" s="9">
        <v>29</v>
      </c>
      <c r="H45" s="9">
        <f>SUM(D45:G45)</f>
      </c>
      <c r="I45" s="5"/>
    </row>
    <row customHeight="true" ht="19" r="46">
      <c r="C46" s="11" t="str">
        <v>强制分布</v>
      </c>
      <c r="D46" s="11" t="s">
        <v>7</v>
      </c>
      <c r="J46" s="12">
        <f>4/18</f>
      </c>
    </row>
    <row customHeight="true" ht="19" r="47">
      <c r="C47" s="11"/>
      <c r="D47" s="11" t="s">
        <v>8</v>
      </c>
      <c r="J47" s="12">
        <f>12/18</f>
      </c>
    </row>
    <row customHeight="true" ht="19" r="48">
      <c r="C48" s="11"/>
      <c r="D48" s="11" t="s">
        <v>6</v>
      </c>
      <c r="J48" s="12">
        <f>2/12</f>
      </c>
    </row>
  </sheetData>
  <mergeCells>
    <mergeCell ref="A1:I1"/>
    <mergeCell ref="A2:B2"/>
    <mergeCell ref="E2:F2"/>
    <mergeCell ref="C3:I3"/>
    <mergeCell ref="A3:A9"/>
    <mergeCell ref="A10:A11"/>
    <mergeCell ref="A12:A13"/>
    <mergeCell ref="A14:A15"/>
    <mergeCell ref="A16:A17"/>
    <mergeCell ref="A18:A19"/>
    <mergeCell ref="A20:A21"/>
    <mergeCell ref="A22:A23"/>
    <mergeCell ref="A24:A25"/>
    <mergeCell ref="A26:A27"/>
    <mergeCell ref="A28:A29"/>
    <mergeCell ref="A30:A31"/>
    <mergeCell ref="A32:A33"/>
    <mergeCell ref="A34:A35"/>
    <mergeCell ref="A36:A37"/>
    <mergeCell ref="A38:A39"/>
    <mergeCell ref="A40:A41"/>
    <mergeCell ref="A42:A43"/>
    <mergeCell ref="A44:A45"/>
    <mergeCell ref="B3:B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C5:C8"/>
    <mergeCell ref="D5:D8"/>
    <mergeCell ref="E5:E8"/>
    <mergeCell ref="F5:F8"/>
    <mergeCell ref="G5:G8"/>
    <mergeCell ref="H4:H8"/>
    <mergeCell ref="I4:I8"/>
    <mergeCell ref="I10:I11"/>
    <mergeCell ref="I12:I13"/>
    <mergeCell ref="I14:I15"/>
    <mergeCell ref="I16:I17"/>
    <mergeCell ref="I18:I19"/>
    <mergeCell ref="I20:I21"/>
    <mergeCell ref="I22:I23"/>
    <mergeCell ref="I24:I25"/>
    <mergeCell ref="I26:I27"/>
    <mergeCell ref="I28:I29"/>
    <mergeCell ref="I30:I31"/>
    <mergeCell ref="I32:I33"/>
    <mergeCell ref="I34:I35"/>
    <mergeCell ref="I36:I37"/>
    <mergeCell ref="I38:I39"/>
    <mergeCell ref="I40:I41"/>
    <mergeCell ref="I42:I43"/>
    <mergeCell ref="I44:I45"/>
  </mergeCells>
  <dataValidations count="6">
    <dataValidation allowBlank="true" errorStyle="stop" operator="between" showErrorMessage="true" sqref="E10 E12 E14 E16 E18 E20 E22 E24 E26 E28 E30 E32 E34 E36 E38 E40 E42 E44 G10 G12 G14 G16 G18 G20 G22 G24 G26 G28 G30 G32 G34 G36 G38 G40 G42 G44" type="whole">
      <formula1>0</formula1>
      <formula2>35</formula2>
    </dataValidation>
    <dataValidation allowBlank="true" errorStyle="stop" operator="between" showErrorMessage="true" sqref="D10 D12 D14 D16 D18 D20 D22 D24 D26 D28 D30 D32 D34 D36 D38 D40 D42 D44" type="whole">
      <formula1>0</formula1>
      <formula2>10</formula2>
    </dataValidation>
    <dataValidation allowBlank="true" errorStyle="stop" operator="between" showErrorMessage="true" sqref="F10 F12 F14 F16 F18 F20 F22 F24 F26 F28 F30 F32 F34 F36 F38 F40 F42 F44" type="whole">
      <formula1>0</formula1>
      <formula2>20</formula2>
    </dataValidation>
    <dataValidation allowBlank="true" errorStyle="stop" operator="between" showErrorMessage="true" sqref="E11 E13 E15 E17 E19 E21 E23 E25 E27 E29 E31 E33 E35 E37 E39 E41 E43 E45 G11 G13 G15 G17 G19 G21 G23 G25 G27 G29 G31 G33 G35 G37 G39 G41 G43 G45" type="whole">
      <formula1>0</formula1>
      <formula2>35</formula2>
    </dataValidation>
    <dataValidation allowBlank="true" errorStyle="stop" operator="between" showErrorMessage="true" sqref="D11 D13 D15 D17 D19 D21 D23 D25 D27 D29 D31 D33 D35 D37 D39 D41 D43 D45" type="whole">
      <formula1>0</formula1>
      <formula2>10</formula2>
    </dataValidation>
    <dataValidation allowBlank="true" errorStyle="stop" operator="between" showErrorMessage="true" sqref="F11 F13 F15 F17 F19 F21 F23 F25 F27 F29 F31 F33 F35 F37 F39 F41 F43 F45" type="whole">
      <formula1>0</formula1>
      <formula2>20</formula2>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